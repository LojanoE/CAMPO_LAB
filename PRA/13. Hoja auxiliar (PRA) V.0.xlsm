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uacorrienteecuador-my.sharepoint.com/personal/jorge_carrasco_ecuacorrienteecuador_onmicrosoft_com/Documents/0 QC/21 Laboratorio de Suelos y Rocas/03. Matrices/"/>
    </mc:Choice>
  </mc:AlternateContent>
  <xr:revisionPtr revIDLastSave="4342" documentId="13_ncr:1_{0B71701B-9A8E-4F1D-AD63-9A938CDCD110}" xr6:coauthVersionLast="47" xr6:coauthVersionMax="47" xr10:uidLastSave="{FE33CED2-890B-48C4-943A-210B37D577B2}"/>
  <bookViews>
    <workbookView xWindow="-108" yWindow="-108" windowWidth="23256" windowHeight="12456" activeTab="1" xr2:uid="{00000000-000D-0000-FFFF-FFFF00000000}"/>
  </bookViews>
  <sheets>
    <sheet name="PRA-1" sheetId="11" r:id="rId1"/>
    <sheet name="PRA-2" sheetId="9" r:id="rId2"/>
    <sheet name="PRA-3" sheetId="12" r:id="rId3"/>
    <sheet name="PRA-3Respaldo" sheetId="7" state="hidden" r:id="rId4"/>
    <sheet name="LISTAS" sheetId="4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5" i="9" l="1"/>
  <c r="P55" i="9"/>
  <c r="C55" i="9" l="1"/>
  <c r="J55" i="9"/>
  <c r="E29" i="9" l="1"/>
  <c r="E15" i="9"/>
  <c r="M55" i="9"/>
  <c r="N55" i="9"/>
  <c r="D47" i="12"/>
  <c r="E47" i="12"/>
  <c r="D47" i="9"/>
  <c r="H55" i="9" s="1"/>
  <c r="E47" i="9"/>
  <c r="P55" i="11" l="1"/>
  <c r="I55" i="9"/>
  <c r="E50" i="12"/>
  <c r="M55" i="12" s="1"/>
  <c r="E49" i="12"/>
  <c r="O55" i="12" s="1"/>
  <c r="E48" i="12"/>
  <c r="N55" i="12" s="1"/>
  <c r="L55" i="12"/>
  <c r="D50" i="12"/>
  <c r="I55" i="12" s="1"/>
  <c r="D49" i="12"/>
  <c r="K55" i="12" s="1"/>
  <c r="D48" i="12"/>
  <c r="J55" i="12" s="1"/>
  <c r="H55" i="12"/>
  <c r="L55" i="9"/>
  <c r="K55" i="9"/>
  <c r="E50" i="11"/>
  <c r="M55" i="11" s="1"/>
  <c r="E49" i="11"/>
  <c r="O55" i="11" s="1"/>
  <c r="E48" i="11"/>
  <c r="N55" i="11" s="1"/>
  <c r="E47" i="11"/>
  <c r="D50" i="11"/>
  <c r="I55" i="11" s="1"/>
  <c r="D49" i="11"/>
  <c r="K55" i="11" s="1"/>
  <c r="D48" i="11"/>
  <c r="J55" i="11" s="1"/>
  <c r="D47" i="11"/>
  <c r="D51" i="11" l="1"/>
  <c r="E51" i="11"/>
  <c r="P55" i="12"/>
  <c r="E15" i="12" l="1"/>
  <c r="E29" i="12"/>
  <c r="A55" i="12" l="1"/>
  <c r="B55" i="12"/>
  <c r="C55" i="12"/>
  <c r="D55" i="12"/>
  <c r="E55" i="12"/>
  <c r="F55" i="12"/>
  <c r="G55" i="12"/>
  <c r="Q55" i="12"/>
  <c r="R55" i="12"/>
  <c r="D51" i="12"/>
  <c r="E51" i="12"/>
  <c r="E41" i="12"/>
  <c r="B6" i="12"/>
  <c r="C8" i="12" s="1"/>
  <c r="A55" i="11"/>
  <c r="B55" i="11"/>
  <c r="C55" i="11"/>
  <c r="D55" i="11"/>
  <c r="E55" i="11"/>
  <c r="F55" i="11"/>
  <c r="G55" i="11"/>
  <c r="H55" i="11"/>
  <c r="L55" i="11"/>
  <c r="Q55" i="11"/>
  <c r="R55" i="11"/>
  <c r="E41" i="11"/>
  <c r="B6" i="11"/>
  <c r="C8" i="11" s="1"/>
  <c r="R55" i="9"/>
  <c r="Q55" i="9"/>
  <c r="G55" i="9"/>
  <c r="F55" i="9"/>
  <c r="E55" i="9"/>
  <c r="B55" i="9"/>
  <c r="A55" i="9"/>
  <c r="E51" i="9"/>
  <c r="D51" i="9"/>
  <c r="E41" i="9"/>
  <c r="B6" i="9"/>
  <c r="C8" i="9" l="1"/>
  <c r="A8" i="9"/>
  <c r="E46" i="9"/>
  <c r="A8" i="12"/>
  <c r="E8" i="12" s="1"/>
  <c r="E10" i="12" s="1"/>
  <c r="E29" i="11"/>
  <c r="T55" i="11" s="1"/>
  <c r="E15" i="11"/>
  <c r="S55" i="11" s="1"/>
  <c r="E46" i="12"/>
  <c r="S55" i="9"/>
  <c r="T55" i="9"/>
  <c r="E46" i="11"/>
  <c r="T55" i="12"/>
  <c r="S55" i="12"/>
  <c r="E8" i="9" l="1"/>
  <c r="E10" i="9" s="1"/>
  <c r="A8" i="11"/>
  <c r="E8" i="11" s="1"/>
  <c r="E11" i="11" s="1"/>
  <c r="E12" i="11" s="1"/>
  <c r="E11" i="12"/>
  <c r="E12" i="12" s="1"/>
  <c r="A118" i="7"/>
  <c r="E116" i="7"/>
  <c r="D108" i="7"/>
  <c r="D99" i="7"/>
  <c r="O73" i="7"/>
  <c r="E73" i="7"/>
  <c r="D73" i="7"/>
  <c r="F73" i="7" s="1"/>
  <c r="C73" i="7"/>
  <c r="B73" i="7"/>
  <c r="A73" i="7"/>
  <c r="AJ64" i="7"/>
  <c r="AI64" i="7"/>
  <c r="AH64" i="7"/>
  <c r="AE64" i="7"/>
  <c r="AD64" i="7"/>
  <c r="AC64" i="7"/>
  <c r="AB64" i="7"/>
  <c r="AA64" i="7"/>
  <c r="Z64" i="7"/>
  <c r="Y64" i="7"/>
  <c r="X64" i="7"/>
  <c r="W64" i="7"/>
  <c r="V64" i="7"/>
  <c r="U64" i="7"/>
  <c r="S64" i="7"/>
  <c r="R64" i="7"/>
  <c r="Q64" i="7"/>
  <c r="P64" i="7"/>
  <c r="O64" i="7"/>
  <c r="N64" i="7"/>
  <c r="M64" i="7"/>
  <c r="L64" i="7"/>
  <c r="K64" i="7"/>
  <c r="J64" i="7"/>
  <c r="H64" i="7"/>
  <c r="F64" i="7"/>
  <c r="A64" i="7"/>
  <c r="E55" i="7"/>
  <c r="D55" i="7"/>
  <c r="E54" i="7"/>
  <c r="E56" i="7" s="1"/>
  <c r="D54" i="7"/>
  <c r="D56" i="7" s="1"/>
  <c r="E43" i="7"/>
  <c r="D43" i="7"/>
  <c r="E31" i="7"/>
  <c r="AG64" i="7" s="1"/>
  <c r="E17" i="7"/>
  <c r="A3" i="7"/>
  <c r="E10" i="11" l="1"/>
  <c r="E11" i="9"/>
  <c r="E12" i="9" s="1"/>
  <c r="E49" i="7"/>
  <c r="E115" i="7"/>
  <c r="AF64" i="7"/>
  <c r="D100" i="7"/>
  <c r="D104" i="7" s="1"/>
  <c r="D103" i="7"/>
  <c r="H73" i="7"/>
  <c r="I73" i="7" s="1"/>
  <c r="L73" i="7" s="1"/>
  <c r="M73" i="7" s="1"/>
  <c r="G73" i="7"/>
  <c r="N73" i="7" s="1"/>
  <c r="P73" i="7" s="1"/>
  <c r="Q73" i="7" s="1"/>
  <c r="C3" i="7" s="1"/>
  <c r="D105" i="7" l="1"/>
  <c r="D107" i="7" s="1"/>
  <c r="D112" i="7" s="1"/>
  <c r="F14" i="7" s="1"/>
  <c r="D111" i="7" l="1"/>
  <c r="D14" i="7" s="1"/>
  <c r="D113" i="7"/>
  <c r="F3" i="7" s="1"/>
  <c r="B3" i="7" s="1"/>
  <c r="E3" i="7" s="1"/>
  <c r="A121" i="7" l="1"/>
  <c r="A119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B43" authorId="0" shapeId="0" xr:uid="{1D786B45-D1BD-4BBB-91D0-892E58E55318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2800</t>
        </r>
      </text>
    </comment>
  </commentList>
</comments>
</file>

<file path=xl/sharedStrings.xml><?xml version="1.0" encoding="utf-8"?>
<sst xmlns="http://schemas.openxmlformats.org/spreadsheetml/2006/main" count="406" uniqueCount="224">
  <si>
    <t>DENSIDAD POR REEMPLAZO CON AGUA (ASTM 5030)</t>
  </si>
  <si>
    <t>N° Pozo</t>
  </si>
  <si>
    <r>
      <t>Temperatura Agua  (</t>
    </r>
    <r>
      <rPr>
        <b/>
        <sz val="14"/>
        <rFont val="Calibri"/>
        <family val="2"/>
      </rPr>
      <t>°C</t>
    </r>
    <r>
      <rPr>
        <b/>
        <sz val="14"/>
        <rFont val="Arial"/>
        <family val="2"/>
      </rPr>
      <t>)</t>
    </r>
  </si>
  <si>
    <t>Método (A o B)</t>
  </si>
  <si>
    <t>A</t>
  </si>
  <si>
    <t>Equipo Compactación</t>
  </si>
  <si>
    <t>Rodillo liso</t>
  </si>
  <si>
    <t>Diametro Anillo (m)</t>
  </si>
  <si>
    <t>Tamaño Máximo (GTM)</t>
  </si>
  <si>
    <t>Profundidad Pozo (m)</t>
  </si>
  <si>
    <t>Descripción Visual</t>
  </si>
  <si>
    <t>Grava mal gradada</t>
  </si>
  <si>
    <r>
      <t>Densidad agua  (g/cm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</si>
  <si>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r>
      <t>Volumen (Anillo + Pozo)
(cm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</si>
  <si>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r>
      <t>Volumen (Anillo)
(cm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</si>
  <si>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r>
      <t>Volumen (Pozo)
(cm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</si>
  <si>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r>
      <t>DENSIDAD SECA MÁXIMA (Proctor) (g/cm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</si>
  <si>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t>2,134</t>
  </si>
  <si>
    <r>
      <t>DENSIDAD HÚMEDA (g/cm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</si>
  <si>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r>
      <t>DENSIDAD SECA (g/cm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</si>
  <si>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t>COMPACTACIÓN (%)</t>
  </si>
  <si>
    <t>Datos del Ensayo</t>
  </si>
  <si>
    <t>Masa agua Inicial (kg)</t>
  </si>
  <si>
    <t>Masa Agua Sobrante (kg)</t>
  </si>
  <si>
    <t>Masa Suelo Húmedo  (Kg)</t>
  </si>
  <si>
    <t>Masa Agua  (Kg)</t>
  </si>
  <si>
    <r>
      <t>Densidad Roca (kg/m</t>
    </r>
    <r>
      <rPr>
        <b/>
        <vertAlign val="superscript"/>
        <sz val="14"/>
        <rFont val="Arial"/>
        <family val="2"/>
      </rPr>
      <t>3</t>
    </r>
    <r>
      <rPr>
        <b/>
        <sz val="14"/>
        <rFont val="Arial"/>
        <family val="2"/>
      </rPr>
      <t>)</t>
    </r>
  </si>
  <si>
    <t>Masa Roca  (Kg)</t>
  </si>
  <si>
    <t>Humedad  (%)</t>
  </si>
  <si>
    <t xml:space="preserve">Nº cápsula </t>
  </si>
  <si>
    <t>#</t>
  </si>
  <si>
    <t>Peso cap. + Muestra húmeda</t>
  </si>
  <si>
    <t>(g)</t>
  </si>
  <si>
    <t>Peso cap. + Muestra seca</t>
  </si>
  <si>
    <t>Peso de cápsula</t>
  </si>
  <si>
    <t>Contenido de humedad</t>
  </si>
  <si>
    <t xml:space="preserve"> (%)</t>
  </si>
  <si>
    <t>Método</t>
  </si>
  <si>
    <t>Diametro Anillo</t>
  </si>
  <si>
    <t>Profundidad Pozo</t>
  </si>
  <si>
    <t>Temperatura Agua</t>
  </si>
  <si>
    <t>Desc. Visual</t>
  </si>
  <si>
    <t>Tamaño Partícula</t>
  </si>
  <si>
    <t>N° Capsula</t>
  </si>
  <si>
    <t>Cap+HUM</t>
  </si>
  <si>
    <t>Cap+Sec</t>
  </si>
  <si>
    <t>Cap</t>
  </si>
  <si>
    <t>Densidad Seca Máxima</t>
  </si>
  <si>
    <t>Masa Agua Inicial</t>
  </si>
  <si>
    <t>Masa Agua Sobrante</t>
  </si>
  <si>
    <t>Masa Suelo</t>
  </si>
  <si>
    <t>Masa Agua Pozo</t>
  </si>
  <si>
    <t>REEMPLAZO CON AGUA (ASTM 5030)</t>
  </si>
  <si>
    <t xml:space="preserve">Fecha </t>
  </si>
  <si>
    <t>Densidad</t>
  </si>
  <si>
    <t>Coord. / Absciza</t>
  </si>
  <si>
    <t xml:space="preserve">Estado: </t>
  </si>
  <si>
    <t>COMPAC.</t>
  </si>
  <si>
    <t xml:space="preserve">POZO: </t>
  </si>
  <si>
    <t>ESTE (X):</t>
  </si>
  <si>
    <t xml:space="preserve">FECHA </t>
  </si>
  <si>
    <t>NORTE (Y):</t>
  </si>
  <si>
    <t>SECTOR ( Aquí poner sectores nuevos )</t>
  </si>
  <si>
    <t xml:space="preserve">CORONAMIENTO </t>
  </si>
  <si>
    <t>COTA (Z):</t>
  </si>
  <si>
    <t>Plataforma</t>
  </si>
  <si>
    <t>C960</t>
  </si>
  <si>
    <r>
      <t xml:space="preserve">SECTOR </t>
    </r>
    <r>
      <rPr>
        <b/>
        <sz val="14"/>
        <color rgb="FF00B050"/>
        <rFont val="Arial"/>
        <family val="2"/>
      </rPr>
      <t>(Lista)</t>
    </r>
  </si>
  <si>
    <t>ABSCISA:</t>
  </si>
  <si>
    <t>Coronamiento</t>
  </si>
  <si>
    <t>C970</t>
  </si>
  <si>
    <t>PLATAF. / CORN</t>
  </si>
  <si>
    <t>PROFUND. POZO(m)</t>
  </si>
  <si>
    <t>Rampa de acceso a la plataforma</t>
  </si>
  <si>
    <t>SEMANA</t>
  </si>
  <si>
    <r>
      <t>TEMP. AGUA  (</t>
    </r>
    <r>
      <rPr>
        <b/>
        <sz val="14"/>
        <rFont val="Calibri"/>
        <family val="2"/>
      </rPr>
      <t>°C</t>
    </r>
    <r>
      <rPr>
        <b/>
        <sz val="14"/>
        <rFont val="Arial"/>
        <family val="2"/>
      </rPr>
      <t>)</t>
    </r>
  </si>
  <si>
    <t>Dren Basal</t>
  </si>
  <si>
    <t>ENSAYADO POR:</t>
  </si>
  <si>
    <t>HUMEDÓMETRO (%)</t>
  </si>
  <si>
    <t>INGRESADO POR</t>
  </si>
  <si>
    <t xml:space="preserve">RODILLO </t>
  </si>
  <si>
    <t xml:space="preserve">APROBADO </t>
  </si>
  <si>
    <t xml:space="preserve">CÓD. MUESTRA </t>
  </si>
  <si>
    <t>DENSIDAD SECA (gr/cm3)</t>
  </si>
  <si>
    <t>PROCTOR</t>
  </si>
  <si>
    <t>D. HUMED</t>
  </si>
  <si>
    <t>D. SECA</t>
  </si>
  <si>
    <t>VOLUMEN DEL ANILLO (LT)</t>
  </si>
  <si>
    <t xml:space="preserve">Peso del agua </t>
  </si>
  <si>
    <t>(Lt)</t>
  </si>
  <si>
    <t xml:space="preserve">Sobrante </t>
  </si>
  <si>
    <t>RESPONSABLE ( Aquí poner sectores nuevos )</t>
  </si>
  <si>
    <t>PESO DE SUELO HUMEDO  (Kg)</t>
  </si>
  <si>
    <t>ING. SANTIAGO PINZÓN</t>
  </si>
  <si>
    <t>ING. JUAN TORRES</t>
  </si>
  <si>
    <t>ING. PAOLA ORTIZ</t>
  </si>
  <si>
    <t>ING. ANAHÍ ORDOÑEZ</t>
  </si>
  <si>
    <t>ING. CRISTHIAN POZO</t>
  </si>
  <si>
    <t>ING. YESENIA GONZÁLEZ</t>
  </si>
  <si>
    <t>ING. PFEIFFER PARDO</t>
  </si>
  <si>
    <t>ING. BRYANT MOSQUERA</t>
  </si>
  <si>
    <t>ING. KATHERINE RODAS</t>
  </si>
  <si>
    <t>ING. PAÚL CARRIÓN</t>
  </si>
  <si>
    <t>ING. JUAN SILVERIO</t>
  </si>
  <si>
    <t>ING. JORGE ESPEJO</t>
  </si>
  <si>
    <t>ING. ADRIANA CUEVA</t>
  </si>
  <si>
    <t>ING. ESTANISLAO LOJANO</t>
  </si>
  <si>
    <t>VOLUMEN ANILLO Y POZO (lt)</t>
  </si>
  <si>
    <t>LAB. DIXON CASTILLO</t>
  </si>
  <si>
    <t>ING. JEAN PARDO</t>
  </si>
  <si>
    <t>ING. KELVIN GONZÁLEZ</t>
  </si>
  <si>
    <t>LAB. CARLOS VACA</t>
  </si>
  <si>
    <t>ROCA</t>
  </si>
  <si>
    <t>VOLUM.</t>
  </si>
  <si>
    <t>HUMEDAD CAMPO  (%)</t>
  </si>
  <si>
    <t>HUMEDAD LABORATORIO (%)</t>
  </si>
  <si>
    <t>B13</t>
  </si>
  <si>
    <t>P4</t>
  </si>
  <si>
    <t xml:space="preserve">Peso cap. + Muestra húmeda   </t>
  </si>
  <si>
    <t>(gr)</t>
  </si>
  <si>
    <t xml:space="preserve">Peso cap. + Muestra seca       </t>
  </si>
  <si>
    <t xml:space="preserve">Peso de cápsula </t>
  </si>
  <si>
    <t xml:space="preserve">Peso de la muestra seca </t>
  </si>
  <si>
    <t>CORONAMIENTO</t>
  </si>
  <si>
    <t>ESTRCTURA</t>
  </si>
  <si>
    <t xml:space="preserve">VERISION </t>
  </si>
  <si>
    <t>TIPO</t>
  </si>
  <si>
    <t xml:space="preserve">Muestra Semana </t>
  </si>
  <si>
    <t>Fecha ENSAYO</t>
  </si>
  <si>
    <t>FECHA Reporte</t>
  </si>
  <si>
    <t>Semana</t>
  </si>
  <si>
    <t>Zona</t>
  </si>
  <si>
    <t>CÓDIGIO MUESTRA</t>
  </si>
  <si>
    <t>SECTOR</t>
  </si>
  <si>
    <t>Ensayado por</t>
  </si>
  <si>
    <t>Ingresado por</t>
  </si>
  <si>
    <t>Arobado</t>
  </si>
  <si>
    <t>x</t>
  </si>
  <si>
    <t>y</t>
  </si>
  <si>
    <t>cota</t>
  </si>
  <si>
    <t>abs</t>
  </si>
  <si>
    <t># Pozo</t>
  </si>
  <si>
    <t>% HUMEDAD HUMEDÓMETRO</t>
  </si>
  <si>
    <t xml:space="preserve">
 cap.+ Muestra húmeda 
gr</t>
  </si>
  <si>
    <t>Cap. + Muestra seca 
gr</t>
  </si>
  <si>
    <t>Peso de cápsula 
gr</t>
  </si>
  <si>
    <t xml:space="preserve"> agua (Lt)</t>
  </si>
  <si>
    <t>Sobrante  (Lt)</t>
  </si>
  <si>
    <t>SUELO</t>
  </si>
  <si>
    <t>AGUA</t>
  </si>
  <si>
    <t>PROFUNDIDAD</t>
  </si>
  <si>
    <t xml:space="preserve">Rodillo de compactación </t>
  </si>
  <si>
    <t xml:space="preserve">Temperatura </t>
  </si>
  <si>
    <t>DRT</t>
  </si>
  <si>
    <t>EETT</t>
  </si>
  <si>
    <t>-</t>
  </si>
  <si>
    <t>P1 (X)</t>
  </si>
  <si>
    <t>P2 (X)</t>
  </si>
  <si>
    <t>P3 (X)</t>
  </si>
  <si>
    <t>C</t>
  </si>
  <si>
    <t>Alfa 1</t>
  </si>
  <si>
    <t>P1 (Y)</t>
  </si>
  <si>
    <t>P2 (Y)</t>
  </si>
  <si>
    <t>P3 (Y)</t>
  </si>
  <si>
    <t>Alfa 2</t>
  </si>
  <si>
    <t xml:space="preserve">CÓDIGO </t>
  </si>
  <si>
    <t>FECHA</t>
  </si>
  <si>
    <t>POZO</t>
  </si>
  <si>
    <t>X</t>
  </si>
  <si>
    <t>Y</t>
  </si>
  <si>
    <t>B1</t>
  </si>
  <si>
    <t>Z1</t>
  </si>
  <si>
    <t>H1</t>
  </si>
  <si>
    <t>h2</t>
  </si>
  <si>
    <t>Z2</t>
  </si>
  <si>
    <t>Z3</t>
  </si>
  <si>
    <t>Abs ( z1+z3)</t>
  </si>
  <si>
    <t xml:space="preserve">Error </t>
  </si>
  <si>
    <t>ESTADO</t>
  </si>
  <si>
    <t>N°</t>
  </si>
  <si>
    <t xml:space="preserve">ENSAYO </t>
  </si>
  <si>
    <t>m</t>
  </si>
  <si>
    <t>Calc.(m)</t>
  </si>
  <si>
    <t>Tipea(m)</t>
  </si>
  <si>
    <t>1.- DATOS DEL POZO</t>
  </si>
  <si>
    <t>PROFUNDIDAD DEL POZO (mm)</t>
  </si>
  <si>
    <t xml:space="preserve">DIAMETRO DEL POZO (mm) </t>
  </si>
  <si>
    <t xml:space="preserve">Peso del agua - Sobrante </t>
  </si>
  <si>
    <t>(cm3)</t>
  </si>
  <si>
    <t xml:space="preserve">2.-VOLUMEN DE POZO </t>
  </si>
  <si>
    <t>Volumen de anillo y pozo</t>
  </si>
  <si>
    <t>(cm3/Lt)</t>
  </si>
  <si>
    <t>Volumen de anillo</t>
  </si>
  <si>
    <t>cm3</t>
  </si>
  <si>
    <t>Volumen de pozo</t>
  </si>
  <si>
    <t>Índice de corrección</t>
  </si>
  <si>
    <t>%</t>
  </si>
  <si>
    <t>Volumen de pozo corr.</t>
  </si>
  <si>
    <t xml:space="preserve">Densidad de agua a la temperatura del pozo  </t>
  </si>
  <si>
    <t>g/cm3</t>
  </si>
  <si>
    <t xml:space="preserve">3.-RESULTADOS </t>
  </si>
  <si>
    <t xml:space="preserve">DENSIDAD HÚMEDA (g/cm3)	</t>
  </si>
  <si>
    <t>DENSIDAD SECA (g/cm3)</t>
  </si>
  <si>
    <t xml:space="preserve">DENSIDAD COMPACTADA (%)	</t>
  </si>
  <si>
    <t>4.- PESO DE SUELO SECO  (Kg)</t>
  </si>
  <si>
    <t xml:space="preserve">Humedad laboratorio </t>
  </si>
  <si>
    <t>5.-CONCLUSIONES:</t>
  </si>
  <si>
    <t>Temperatura</t>
  </si>
  <si>
    <t xml:space="preserve">Densidad </t>
  </si>
  <si>
    <t>°C</t>
  </si>
  <si>
    <t>g/mL</t>
  </si>
  <si>
    <t>2 (Opcional)</t>
  </si>
  <si>
    <t>Peso Cap</t>
  </si>
  <si>
    <t xml:space="preserve">Peso cap.+ M húmeda </t>
  </si>
  <si>
    <t xml:space="preserve">Peso cap. + M seca </t>
  </si>
  <si>
    <t>P1M1</t>
  </si>
  <si>
    <t>P2M2</t>
  </si>
  <si>
    <t>P3M3</t>
  </si>
  <si>
    <t>dew</t>
  </si>
  <si>
    <t xml:space="preserve">CONTENIDO DE HUMEDAD </t>
  </si>
  <si>
    <t>B19</t>
  </si>
  <si>
    <t>P3</t>
  </si>
  <si>
    <t>B4</t>
  </si>
  <si>
    <t>B16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</si>
</sst>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dd/mm/yy;@"/>
    <numFmt numFmtId="166" formatCode="0.0"/>
    <numFmt numFmtId="167" formatCode="[$-300A]d&quot; de &quot;mmmm&quot; de &quot;yyyy;@"/>
    <numFmt numFmtId="168" formatCode="0.00000"/>
    <numFmt numFmtId="169" formatCode="0.0000"/>
  </numFmts>
  <fonts count="50" x14ac:knownFonts="1">
    <font>
      <sz val="11"/>
      <color theme="1"/>
      <name val="Calibri"/>
      <family val="2"/>
      <scheme val="minor"/>
    </font>
    <font>
      <b/>
      <sz val="18"/>
      <name val="Arial Black"/>
      <family val="2"/>
    </font>
    <font>
      <sz val="11"/>
      <name val="Arial"/>
      <family val="2"/>
    </font>
    <font>
      <b/>
      <sz val="14"/>
      <color rgb="FFFFFF00"/>
      <name val="Arial"/>
      <family val="2"/>
    </font>
    <font>
      <b/>
      <sz val="20"/>
      <color rgb="FFFFFF0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6"/>
      <name val="Arial Black"/>
      <family val="2"/>
    </font>
    <font>
      <b/>
      <sz val="18"/>
      <color rgb="FFFF0000"/>
      <name val="Arial"/>
      <family val="2"/>
    </font>
    <font>
      <b/>
      <sz val="18"/>
      <color rgb="FF00B050"/>
      <name val="Arial"/>
      <family val="2"/>
    </font>
    <font>
      <b/>
      <sz val="18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rgb="FF00B050"/>
      <name val="Arial"/>
      <family val="2"/>
    </font>
    <font>
      <b/>
      <sz val="14"/>
      <color rgb="FFFF0000"/>
      <name val="Arial"/>
      <family val="2"/>
    </font>
    <font>
      <b/>
      <sz val="16"/>
      <color rgb="FFFF0000"/>
      <name val="Arial"/>
      <family val="2"/>
    </font>
    <font>
      <b/>
      <sz val="20"/>
      <name val="Arial"/>
      <family val="2"/>
    </font>
    <font>
      <b/>
      <sz val="17"/>
      <color rgb="FFFF0000"/>
      <name val="Arial"/>
      <family val="2"/>
    </font>
    <font>
      <b/>
      <sz val="15"/>
      <color theme="0"/>
      <name val="Arial"/>
      <family val="2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2"/>
      <name val="Tahoma"/>
      <family val="2"/>
    </font>
    <font>
      <b/>
      <sz val="14"/>
      <name val="Calibri"/>
      <family val="2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b/>
      <sz val="11"/>
      <color theme="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8"/>
      <color rgb="FFFFFF00"/>
      <name val="Arial"/>
      <family val="2"/>
    </font>
    <font>
      <sz val="12"/>
      <color theme="1"/>
      <name val="Arial"/>
      <family val="2"/>
    </font>
    <font>
      <b/>
      <sz val="16"/>
      <name val="Arial"/>
      <family val="2"/>
    </font>
    <font>
      <b/>
      <vertAlign val="superscript"/>
      <sz val="14"/>
      <name val="Arial"/>
      <family val="2"/>
    </font>
    <font>
      <sz val="14"/>
      <color rgb="FF1B3664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1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rgb="FF000000"/>
      </patternFill>
    </fill>
  </fills>
  <borders count="5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ont="0" applyFill="0" applyBorder="0" applyAlignment="0" applyProtection="0">
      <alignment vertical="top"/>
    </xf>
  </cellStyleXfs>
  <cellXfs count="340">
    <xf numFmtId="0" fontId="0" fillId="0" borderId="0" xfId="0"/>
    <xf numFmtId="166" fontId="8" fillId="3" borderId="4" xfId="0" applyNumberFormat="1" applyFont="1" applyFill="1" applyBorder="1" applyAlignment="1" applyProtection="1">
      <alignment horizontal="center" vertical="center"/>
      <protection locked="0"/>
    </xf>
    <xf numFmtId="166" fontId="8" fillId="3" borderId="5" xfId="0" applyNumberFormat="1" applyFont="1" applyFill="1" applyBorder="1" applyAlignment="1" applyProtection="1">
      <alignment horizontal="center" vertical="center"/>
      <protection locked="0"/>
    </xf>
    <xf numFmtId="166" fontId="8" fillId="3" borderId="17" xfId="0" applyNumberFormat="1" applyFont="1" applyFill="1" applyBorder="1" applyAlignment="1" applyProtection="1">
      <alignment horizontal="center" vertical="center"/>
      <protection locked="0"/>
    </xf>
    <xf numFmtId="166" fontId="9" fillId="3" borderId="4" xfId="0" applyNumberFormat="1" applyFont="1" applyFill="1" applyBorder="1" applyAlignment="1" applyProtection="1">
      <alignment horizontal="center" vertical="center"/>
      <protection locked="0"/>
    </xf>
    <xf numFmtId="166" fontId="9" fillId="3" borderId="17" xfId="0" applyNumberFormat="1" applyFont="1" applyFill="1" applyBorder="1" applyAlignment="1" applyProtection="1">
      <alignment horizontal="center" vertical="center"/>
      <protection locked="0"/>
    </xf>
    <xf numFmtId="0" fontId="4" fillId="6" borderId="19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Protection="1">
      <protection locked="0"/>
    </xf>
    <xf numFmtId="0" fontId="6" fillId="3" borderId="17" xfId="0" applyFont="1" applyFill="1" applyBorder="1" applyProtection="1">
      <protection locked="0"/>
    </xf>
    <xf numFmtId="0" fontId="8" fillId="5" borderId="4" xfId="0" applyFont="1" applyFill="1" applyBorder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  <protection locked="0"/>
    </xf>
    <xf numFmtId="0" fontId="8" fillId="5" borderId="17" xfId="0" applyFont="1" applyFill="1" applyBorder="1" applyAlignment="1" applyProtection="1">
      <alignment horizontal="center" vertical="center"/>
      <protection locked="0"/>
    </xf>
    <xf numFmtId="0" fontId="8" fillId="5" borderId="7" xfId="0" applyFont="1" applyFill="1" applyBorder="1" applyAlignment="1" applyProtection="1">
      <alignment horizontal="center" vertical="center"/>
      <protection locked="0"/>
    </xf>
    <xf numFmtId="166" fontId="8" fillId="5" borderId="5" xfId="0" applyNumberFormat="1" applyFont="1" applyFill="1" applyBorder="1" applyAlignment="1" applyProtection="1">
      <alignment horizontal="center" vertical="center"/>
      <protection locked="0"/>
    </xf>
    <xf numFmtId="166" fontId="8" fillId="5" borderId="7" xfId="0" applyNumberFormat="1" applyFont="1" applyFill="1" applyBorder="1" applyAlignment="1" applyProtection="1">
      <alignment horizontal="center" vertical="center"/>
      <protection locked="0"/>
    </xf>
    <xf numFmtId="166" fontId="8" fillId="5" borderId="11" xfId="0" applyNumberFormat="1" applyFont="1" applyFill="1" applyBorder="1" applyAlignment="1" applyProtection="1">
      <alignment horizontal="center" vertical="center"/>
      <protection locked="0"/>
    </xf>
    <xf numFmtId="166" fontId="8" fillId="5" borderId="15" xfId="0" applyNumberFormat="1" applyFont="1" applyFill="1" applyBorder="1" applyAlignment="1" applyProtection="1">
      <alignment horizontal="center" vertical="center"/>
      <protection locked="0"/>
    </xf>
    <xf numFmtId="2" fontId="8" fillId="5" borderId="4" xfId="0" applyNumberFormat="1" applyFont="1" applyFill="1" applyBorder="1" applyAlignment="1" applyProtection="1">
      <alignment horizontal="center" vertical="center"/>
      <protection locked="0"/>
    </xf>
    <xf numFmtId="2" fontId="8" fillId="5" borderId="10" xfId="0" applyNumberFormat="1" applyFont="1" applyFill="1" applyBorder="1" applyAlignment="1" applyProtection="1">
      <alignment horizontal="center" vertical="center"/>
      <protection locked="0"/>
    </xf>
    <xf numFmtId="2" fontId="8" fillId="5" borderId="17" xfId="0" applyNumberFormat="1" applyFont="1" applyFill="1" applyBorder="1" applyAlignment="1" applyProtection="1">
      <alignment horizontal="center" vertical="center"/>
      <protection locked="0"/>
    </xf>
    <xf numFmtId="2" fontId="8" fillId="5" borderId="17" xfId="0" quotePrefix="1" applyNumberFormat="1" applyFont="1" applyFill="1" applyBorder="1" applyAlignment="1" applyProtection="1">
      <alignment horizontal="center" vertical="center"/>
      <protection locked="0"/>
    </xf>
    <xf numFmtId="0" fontId="30" fillId="0" borderId="17" xfId="0" applyFont="1" applyBorder="1" applyAlignment="1">
      <alignment vertical="center"/>
    </xf>
    <xf numFmtId="0" fontId="30" fillId="0" borderId="17" xfId="0" applyFont="1" applyBorder="1" applyAlignment="1">
      <alignment horizontal="center" vertical="center"/>
    </xf>
    <xf numFmtId="0" fontId="0" fillId="0" borderId="17" xfId="0" applyBorder="1"/>
    <xf numFmtId="0" fontId="31" fillId="0" borderId="17" xfId="0" applyFont="1" applyBorder="1" applyAlignment="1">
      <alignment horizontal="center"/>
    </xf>
    <xf numFmtId="2" fontId="31" fillId="0" borderId="17" xfId="0" applyNumberFormat="1" applyFont="1" applyBorder="1" applyAlignment="1">
      <alignment horizontal="center"/>
    </xf>
    <xf numFmtId="168" fontId="32" fillId="0" borderId="17" xfId="1" applyNumberFormat="1" applyFont="1" applyFill="1" applyBorder="1" applyAlignment="1" applyProtection="1">
      <alignment horizontal="center" vertical="top"/>
    </xf>
    <xf numFmtId="168" fontId="32" fillId="0" borderId="17" xfId="1" applyNumberFormat="1" applyFont="1" applyFill="1" applyBorder="1" applyAlignment="1" applyProtection="1">
      <alignment horizontal="center"/>
    </xf>
    <xf numFmtId="168" fontId="31" fillId="0" borderId="17" xfId="0" applyNumberFormat="1" applyFont="1" applyBorder="1"/>
    <xf numFmtId="0" fontId="25" fillId="5" borderId="0" xfId="0" applyFont="1" applyFill="1" applyProtection="1">
      <protection locked="0"/>
    </xf>
    <xf numFmtId="0" fontId="13" fillId="8" borderId="0" xfId="0" applyFont="1" applyFill="1" applyProtection="1">
      <protection hidden="1"/>
    </xf>
    <xf numFmtId="0" fontId="36" fillId="8" borderId="0" xfId="0" applyFont="1" applyFill="1" applyAlignment="1" applyProtection="1">
      <alignment vertical="center"/>
      <protection hidden="1"/>
    </xf>
    <xf numFmtId="0" fontId="2" fillId="8" borderId="0" xfId="0" applyFont="1" applyFill="1" applyProtection="1">
      <protection hidden="1"/>
    </xf>
    <xf numFmtId="0" fontId="2" fillId="3" borderId="0" xfId="0" applyFont="1" applyFill="1" applyProtection="1">
      <protection hidden="1"/>
    </xf>
    <xf numFmtId="0" fontId="3" fillId="4" borderId="4" xfId="0" applyFont="1" applyFill="1" applyBorder="1" applyAlignment="1" applyProtection="1">
      <alignment horizontal="center" vertical="center"/>
      <protection hidden="1"/>
    </xf>
    <xf numFmtId="0" fontId="29" fillId="7" borderId="10" xfId="0" applyFont="1" applyFill="1" applyBorder="1" applyAlignment="1" applyProtection="1">
      <alignment horizontal="center" vertical="center"/>
      <protection hidden="1"/>
    </xf>
    <xf numFmtId="2" fontId="4" fillId="7" borderId="13" xfId="0" applyNumberFormat="1" applyFont="1" applyFill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vertical="top"/>
      <protection hidden="1"/>
    </xf>
    <xf numFmtId="0" fontId="5" fillId="3" borderId="17" xfId="0" applyFont="1" applyFill="1" applyBorder="1" applyAlignment="1" applyProtection="1">
      <alignment vertical="top"/>
      <protection hidden="1"/>
    </xf>
    <xf numFmtId="0" fontId="6" fillId="8" borderId="0" xfId="0" applyFont="1" applyFill="1" applyProtection="1">
      <protection hidden="1"/>
    </xf>
    <xf numFmtId="0" fontId="5" fillId="3" borderId="17" xfId="0" applyFont="1" applyFill="1" applyBorder="1" applyAlignment="1" applyProtection="1">
      <alignment vertical="center"/>
      <protection hidden="1"/>
    </xf>
    <xf numFmtId="0" fontId="35" fillId="8" borderId="0" xfId="0" applyFont="1" applyFill="1" applyProtection="1">
      <protection hidden="1"/>
    </xf>
    <xf numFmtId="0" fontId="34" fillId="8" borderId="0" xfId="0" applyFont="1" applyFill="1" applyAlignment="1" applyProtection="1">
      <alignment vertical="center"/>
      <protection hidden="1"/>
    </xf>
    <xf numFmtId="0" fontId="34" fillId="8" borderId="0" xfId="0" applyFont="1" applyFill="1" applyProtection="1">
      <protection hidden="1"/>
    </xf>
    <xf numFmtId="0" fontId="6" fillId="3" borderId="0" xfId="0" applyFont="1" applyFill="1" applyProtection="1">
      <protection hidden="1"/>
    </xf>
    <xf numFmtId="49" fontId="5" fillId="3" borderId="17" xfId="0" applyNumberFormat="1" applyFont="1" applyFill="1" applyBorder="1" applyAlignment="1" applyProtection="1">
      <alignment vertical="center"/>
      <protection hidden="1"/>
    </xf>
    <xf numFmtId="0" fontId="5" fillId="3" borderId="15" xfId="0" applyFont="1" applyFill="1" applyBorder="1" applyAlignment="1" applyProtection="1">
      <alignment horizontal="center" vertical="center"/>
      <protection hidden="1"/>
    </xf>
    <xf numFmtId="0" fontId="7" fillId="5" borderId="1" xfId="0" applyFont="1" applyFill="1" applyBorder="1" applyAlignment="1" applyProtection="1">
      <alignment vertical="center"/>
      <protection hidden="1"/>
    </xf>
    <xf numFmtId="0" fontId="5" fillId="5" borderId="2" xfId="0" applyFont="1" applyFill="1" applyBorder="1" applyAlignment="1" applyProtection="1">
      <alignment vertical="center"/>
      <protection hidden="1"/>
    </xf>
    <xf numFmtId="0" fontId="5" fillId="5" borderId="3" xfId="0" applyFont="1" applyFill="1" applyBorder="1" applyAlignment="1" applyProtection="1">
      <alignment vertical="center"/>
      <protection hidden="1"/>
    </xf>
    <xf numFmtId="0" fontId="6" fillId="3" borderId="0" xfId="0" applyFont="1" applyFill="1" applyAlignment="1" applyProtection="1">
      <alignment vertical="center"/>
      <protection hidden="1"/>
    </xf>
    <xf numFmtId="0" fontId="6" fillId="5" borderId="2" xfId="0" applyFont="1" applyFill="1" applyBorder="1" applyAlignment="1" applyProtection="1">
      <alignment vertical="center"/>
      <protection hidden="1"/>
    </xf>
    <xf numFmtId="0" fontId="5" fillId="5" borderId="2" xfId="0" applyFont="1" applyFill="1" applyBorder="1" applyAlignment="1" applyProtection="1">
      <alignment horizontal="right" vertical="center"/>
      <protection hidden="1"/>
    </xf>
    <xf numFmtId="0" fontId="0" fillId="8" borderId="0" xfId="0" applyFill="1" applyProtection="1">
      <protection hidden="1"/>
    </xf>
    <xf numFmtId="2" fontId="8" fillId="5" borderId="19" xfId="0" applyNumberFormat="1" applyFont="1" applyFill="1" applyBorder="1" applyAlignment="1" applyProtection="1">
      <alignment horizontal="center" vertical="center"/>
      <protection hidden="1"/>
    </xf>
    <xf numFmtId="0" fontId="10" fillId="5" borderId="2" xfId="0" applyFont="1" applyFill="1" applyBorder="1" applyAlignment="1" applyProtection="1">
      <alignment vertical="center"/>
      <protection hidden="1"/>
    </xf>
    <xf numFmtId="0" fontId="6" fillId="3" borderId="15" xfId="0" applyFont="1" applyFill="1" applyBorder="1" applyAlignment="1" applyProtection="1">
      <alignment vertic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0" fontId="6" fillId="3" borderId="15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0" fontId="6" fillId="3" borderId="5" xfId="0" applyFont="1" applyFill="1" applyBorder="1" applyAlignment="1" applyProtection="1">
      <alignment horizontal="left" vertical="center"/>
      <protection hidden="1"/>
    </xf>
    <xf numFmtId="0" fontId="6" fillId="3" borderId="18" xfId="0" applyFont="1" applyFill="1" applyBorder="1" applyAlignment="1" applyProtection="1">
      <alignment horizontal="left" vertical="center"/>
      <protection hidden="1"/>
    </xf>
    <xf numFmtId="0" fontId="6" fillId="3" borderId="18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Protection="1">
      <protection hidden="1"/>
    </xf>
    <xf numFmtId="0" fontId="12" fillId="8" borderId="0" xfId="0" applyFont="1" applyFill="1" applyProtection="1">
      <protection hidden="1"/>
    </xf>
    <xf numFmtId="0" fontId="13" fillId="8" borderId="0" xfId="0" applyFont="1" applyFill="1" applyAlignment="1" applyProtection="1">
      <alignment vertical="center"/>
      <protection hidden="1"/>
    </xf>
    <xf numFmtId="0" fontId="2" fillId="8" borderId="0" xfId="0" applyFont="1" applyFill="1" applyAlignment="1" applyProtection="1">
      <alignment vertical="center"/>
      <protection hidden="1"/>
    </xf>
    <xf numFmtId="0" fontId="19" fillId="8" borderId="0" xfId="0" applyFont="1" applyFill="1" applyProtection="1">
      <protection hidden="1"/>
    </xf>
    <xf numFmtId="0" fontId="2" fillId="8" borderId="0" xfId="0" applyFont="1" applyFill="1" applyAlignment="1" applyProtection="1">
      <alignment horizontal="center" vertical="center"/>
      <protection hidden="1"/>
    </xf>
    <xf numFmtId="0" fontId="15" fillId="8" borderId="0" xfId="0" applyFont="1" applyFill="1" applyAlignment="1" applyProtection="1">
      <alignment horizontal="center" vertical="center"/>
      <protection hidden="1"/>
    </xf>
    <xf numFmtId="2" fontId="2" fillId="8" borderId="0" xfId="0" applyNumberFormat="1" applyFont="1" applyFill="1" applyAlignment="1" applyProtection="1">
      <alignment vertical="center"/>
      <protection hidden="1"/>
    </xf>
    <xf numFmtId="2" fontId="15" fillId="8" borderId="0" xfId="0" applyNumberFormat="1" applyFont="1" applyFill="1" applyAlignment="1" applyProtection="1">
      <alignment horizontal="center" vertical="center"/>
      <protection hidden="1"/>
    </xf>
    <xf numFmtId="2" fontId="16" fillId="8" borderId="17" xfId="0" applyNumberFormat="1" applyFont="1" applyFill="1" applyBorder="1" applyAlignment="1" applyProtection="1">
      <alignment horizontal="center"/>
      <protection hidden="1"/>
    </xf>
    <xf numFmtId="2" fontId="17" fillId="8" borderId="0" xfId="0" applyNumberFormat="1" applyFont="1" applyFill="1" applyAlignment="1" applyProtection="1">
      <alignment vertical="center"/>
      <protection hidden="1"/>
    </xf>
    <xf numFmtId="0" fontId="17" fillId="8" borderId="0" xfId="0" applyFont="1" applyFill="1" applyAlignment="1" applyProtection="1">
      <alignment vertical="center"/>
      <protection hidden="1"/>
    </xf>
    <xf numFmtId="2" fontId="17" fillId="8" borderId="0" xfId="0" applyNumberFormat="1" applyFont="1" applyFill="1" applyProtection="1">
      <protection hidden="1"/>
    </xf>
    <xf numFmtId="0" fontId="17" fillId="8" borderId="0" xfId="0" applyFont="1" applyFill="1" applyProtection="1">
      <protection hidden="1"/>
    </xf>
    <xf numFmtId="2" fontId="16" fillId="8" borderId="7" xfId="0" applyNumberFormat="1" applyFont="1" applyFill="1" applyBorder="1" applyAlignment="1" applyProtection="1">
      <alignment horizontal="center"/>
      <protection hidden="1"/>
    </xf>
    <xf numFmtId="2" fontId="16" fillId="8" borderId="10" xfId="0" applyNumberFormat="1" applyFont="1" applyFill="1" applyBorder="1" applyAlignment="1" applyProtection="1">
      <alignment horizontal="center"/>
      <protection hidden="1"/>
    </xf>
    <xf numFmtId="2" fontId="16" fillId="8" borderId="20" xfId="0" applyNumberFormat="1" applyFont="1" applyFill="1" applyBorder="1" applyAlignment="1" applyProtection="1">
      <alignment horizontal="center"/>
      <protection hidden="1"/>
    </xf>
    <xf numFmtId="2" fontId="18" fillId="8" borderId="17" xfId="0" applyNumberFormat="1" applyFont="1" applyFill="1" applyBorder="1" applyAlignment="1" applyProtection="1">
      <alignment horizontal="center"/>
      <protection hidden="1"/>
    </xf>
    <xf numFmtId="2" fontId="18" fillId="8" borderId="17" xfId="0" applyNumberFormat="1" applyFont="1" applyFill="1" applyBorder="1" applyProtection="1">
      <protection hidden="1"/>
    </xf>
    <xf numFmtId="2" fontId="18" fillId="8" borderId="4" xfId="0" applyNumberFormat="1" applyFont="1" applyFill="1" applyBorder="1" applyAlignment="1" applyProtection="1">
      <alignment horizontal="center"/>
      <protection hidden="1"/>
    </xf>
    <xf numFmtId="2" fontId="19" fillId="8" borderId="0" xfId="0" applyNumberFormat="1" applyFont="1" applyFill="1" applyProtection="1">
      <protection hidden="1"/>
    </xf>
    <xf numFmtId="2" fontId="2" fillId="8" borderId="0" xfId="0" applyNumberFormat="1" applyFont="1" applyFill="1" applyProtection="1">
      <protection hidden="1"/>
    </xf>
    <xf numFmtId="0" fontId="19" fillId="3" borderId="0" xfId="0" applyFont="1" applyFill="1" applyProtection="1">
      <protection hidden="1"/>
    </xf>
    <xf numFmtId="0" fontId="20" fillId="5" borderId="11" xfId="0" applyFont="1" applyFill="1" applyBorder="1" applyAlignment="1" applyProtection="1">
      <alignment vertical="center"/>
      <protection hidden="1"/>
    </xf>
    <xf numFmtId="0" fontId="20" fillId="5" borderId="14" xfId="0" applyFont="1" applyFill="1" applyBorder="1" applyAlignment="1" applyProtection="1">
      <alignment vertical="center"/>
      <protection hidden="1"/>
    </xf>
    <xf numFmtId="0" fontId="20" fillId="5" borderId="12" xfId="0" applyFont="1" applyFill="1" applyBorder="1" applyAlignment="1" applyProtection="1">
      <alignment vertical="center"/>
      <protection hidden="1"/>
    </xf>
    <xf numFmtId="0" fontId="6" fillId="3" borderId="16" xfId="0" applyFont="1" applyFill="1" applyBorder="1" applyAlignment="1" applyProtection="1">
      <alignment vertical="center"/>
      <protection hidden="1"/>
    </xf>
    <xf numFmtId="2" fontId="6" fillId="3" borderId="0" xfId="0" applyNumberFormat="1" applyFont="1" applyFill="1" applyAlignment="1" applyProtection="1">
      <alignment vertical="center"/>
      <protection hidden="1"/>
    </xf>
    <xf numFmtId="0" fontId="5" fillId="5" borderId="15" xfId="0" applyFont="1" applyFill="1" applyBorder="1" applyAlignment="1" applyProtection="1">
      <alignment vertical="center"/>
      <protection hidden="1"/>
    </xf>
    <xf numFmtId="0" fontId="5" fillId="5" borderId="0" xfId="0" applyFont="1" applyFill="1" applyAlignment="1" applyProtection="1">
      <alignment vertical="center"/>
      <protection hidden="1"/>
    </xf>
    <xf numFmtId="0" fontId="5" fillId="5" borderId="16" xfId="0" applyFont="1" applyFill="1" applyBorder="1" applyAlignment="1" applyProtection="1">
      <alignment vertical="center"/>
      <protection hidden="1"/>
    </xf>
    <xf numFmtId="164" fontId="6" fillId="3" borderId="0" xfId="0" applyNumberFormat="1" applyFont="1" applyFill="1" applyAlignment="1" applyProtection="1">
      <alignment vertical="center"/>
      <protection hidden="1"/>
    </xf>
    <xf numFmtId="164" fontId="6" fillId="3" borderId="16" xfId="0" applyNumberFormat="1" applyFont="1" applyFill="1" applyBorder="1" applyAlignment="1" applyProtection="1">
      <alignment vertical="center"/>
      <protection hidden="1"/>
    </xf>
    <xf numFmtId="2" fontId="6" fillId="5" borderId="16" xfId="0" applyNumberFormat="1" applyFont="1" applyFill="1" applyBorder="1" applyAlignment="1" applyProtection="1">
      <alignment horizontal="center" vertical="center"/>
      <protection hidden="1"/>
    </xf>
    <xf numFmtId="0" fontId="6" fillId="3" borderId="15" xfId="0" applyFont="1" applyFill="1" applyBorder="1" applyProtection="1">
      <protection hidden="1"/>
    </xf>
    <xf numFmtId="0" fontId="6" fillId="3" borderId="16" xfId="0" applyFont="1" applyFill="1" applyBorder="1" applyAlignment="1" applyProtection="1">
      <alignment horizontal="center"/>
      <protection hidden="1"/>
    </xf>
    <xf numFmtId="0" fontId="6" fillId="5" borderId="0" xfId="0" applyFont="1" applyFill="1" applyAlignment="1" applyProtection="1">
      <alignment vertical="center"/>
      <protection hidden="1"/>
    </xf>
    <xf numFmtId="0" fontId="6" fillId="5" borderId="16" xfId="0" applyFont="1" applyFill="1" applyBorder="1" applyAlignment="1" applyProtection="1">
      <alignment vertical="center"/>
      <protection hidden="1"/>
    </xf>
    <xf numFmtId="0" fontId="6" fillId="3" borderId="5" xfId="0" applyFont="1" applyFill="1" applyBorder="1" applyProtection="1">
      <protection hidden="1"/>
    </xf>
    <xf numFmtId="0" fontId="6" fillId="3" borderId="18" xfId="0" applyFont="1" applyFill="1" applyBorder="1" applyProtection="1">
      <protection hidden="1"/>
    </xf>
    <xf numFmtId="0" fontId="6" fillId="3" borderId="6" xfId="0" applyFont="1" applyFill="1" applyBorder="1" applyProtection="1"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167" fontId="21" fillId="3" borderId="0" xfId="0" applyNumberFormat="1" applyFont="1" applyFill="1" applyAlignment="1" applyProtection="1">
      <alignment vertical="center"/>
      <protection hidden="1"/>
    </xf>
    <xf numFmtId="0" fontId="6" fillId="3" borderId="0" xfId="0" applyFont="1" applyFill="1" applyAlignment="1" applyProtection="1">
      <alignment horizontal="center" vertical="center"/>
      <protection locked="0"/>
    </xf>
    <xf numFmtId="0" fontId="10" fillId="3" borderId="17" xfId="0" applyFont="1" applyFill="1" applyBorder="1" applyAlignment="1" applyProtection="1">
      <alignment horizontal="center" vertical="center"/>
      <protection locked="0"/>
    </xf>
    <xf numFmtId="0" fontId="10" fillId="3" borderId="7" xfId="0" applyFont="1" applyFill="1" applyBorder="1" applyAlignment="1" applyProtection="1">
      <alignment horizontal="center" vertical="center"/>
      <protection locked="0"/>
    </xf>
    <xf numFmtId="0" fontId="34" fillId="8" borderId="0" xfId="0" applyFont="1" applyFill="1" applyAlignment="1" applyProtection="1">
      <alignment horizontal="left"/>
      <protection hidden="1"/>
    </xf>
    <xf numFmtId="49" fontId="5" fillId="3" borderId="0" xfId="0" applyNumberFormat="1" applyFont="1" applyFill="1" applyAlignment="1" applyProtection="1">
      <alignment vertical="center"/>
      <protection hidden="1"/>
    </xf>
    <xf numFmtId="164" fontId="10" fillId="5" borderId="2" xfId="0" applyNumberFormat="1" applyFont="1" applyFill="1" applyBorder="1" applyAlignment="1" applyProtection="1">
      <alignment horizontal="center" vertical="center"/>
      <protection hidden="1"/>
    </xf>
    <xf numFmtId="164" fontId="27" fillId="10" borderId="13" xfId="0" applyNumberFormat="1" applyFont="1" applyFill="1" applyBorder="1" applyAlignment="1" applyProtection="1">
      <alignment horizontal="center" vertical="center"/>
      <protection hidden="1"/>
    </xf>
    <xf numFmtId="164" fontId="27" fillId="0" borderId="13" xfId="0" applyNumberFormat="1" applyFont="1" applyBorder="1" applyAlignment="1" applyProtection="1">
      <alignment horizontal="center" vertical="center"/>
      <protection hidden="1"/>
    </xf>
    <xf numFmtId="14" fontId="37" fillId="11" borderId="17" xfId="0" applyNumberFormat="1" applyFont="1" applyFill="1" applyBorder="1" applyAlignment="1" applyProtection="1">
      <alignment horizontal="center" vertical="center" wrapText="1"/>
      <protection locked="0"/>
    </xf>
    <xf numFmtId="0" fontId="37" fillId="11" borderId="10" xfId="0" applyFont="1" applyFill="1" applyBorder="1" applyAlignment="1" applyProtection="1">
      <alignment horizontal="center" vertical="center" wrapText="1"/>
      <protection locked="0"/>
    </xf>
    <xf numFmtId="1" fontId="37" fillId="11" borderId="10" xfId="0" applyNumberFormat="1" applyFont="1" applyFill="1" applyBorder="1" applyAlignment="1" applyProtection="1">
      <alignment horizontal="center" vertical="center" wrapText="1"/>
      <protection locked="0"/>
    </xf>
    <xf numFmtId="0" fontId="15" fillId="11" borderId="0" xfId="0" applyFont="1" applyFill="1" applyAlignment="1" applyProtection="1">
      <alignment horizontal="center" vertical="center" wrapText="1"/>
      <protection hidden="1"/>
    </xf>
    <xf numFmtId="14" fontId="38" fillId="8" borderId="17" xfId="0" applyNumberFormat="1" applyFont="1" applyFill="1" applyBorder="1" applyAlignment="1" applyProtection="1">
      <alignment horizontal="center" vertical="center" wrapText="1"/>
      <protection hidden="1"/>
    </xf>
    <xf numFmtId="3" fontId="38" fillId="8" borderId="17" xfId="0" applyNumberFormat="1" applyFont="1" applyFill="1" applyBorder="1" applyAlignment="1" applyProtection="1">
      <alignment horizontal="center" vertical="center" wrapText="1"/>
      <protection hidden="1"/>
    </xf>
    <xf numFmtId="164" fontId="38" fillId="9" borderId="17" xfId="0" applyNumberFormat="1" applyFont="1" applyFill="1" applyBorder="1" applyAlignment="1" applyProtection="1">
      <alignment horizontal="center" vertical="center" wrapText="1"/>
      <protection hidden="1"/>
    </xf>
    <xf numFmtId="1" fontId="38" fillId="8" borderId="17" xfId="0" applyNumberFormat="1" applyFont="1" applyFill="1" applyBorder="1" applyAlignment="1" applyProtection="1">
      <alignment horizontal="center" vertical="center" wrapText="1"/>
      <protection hidden="1"/>
    </xf>
    <xf numFmtId="0" fontId="38" fillId="8" borderId="17" xfId="0" applyFont="1" applyFill="1" applyBorder="1" applyAlignment="1" applyProtection="1">
      <alignment horizontal="center" vertical="center" wrapText="1"/>
      <protection hidden="1"/>
    </xf>
    <xf numFmtId="2" fontId="38" fillId="8" borderId="17" xfId="0" applyNumberFormat="1" applyFont="1" applyFill="1" applyBorder="1" applyAlignment="1" applyProtection="1">
      <alignment horizontal="center" vertical="center" wrapText="1"/>
      <protection hidden="1"/>
    </xf>
    <xf numFmtId="1" fontId="38" fillId="8" borderId="17" xfId="0" applyNumberFormat="1" applyFont="1" applyFill="1" applyBorder="1" applyAlignment="1" applyProtection="1">
      <alignment horizontal="center" vertical="center"/>
      <protection hidden="1"/>
    </xf>
    <xf numFmtId="0" fontId="38" fillId="8" borderId="17" xfId="0" applyFont="1" applyFill="1" applyBorder="1" applyAlignment="1" applyProtection="1">
      <alignment horizontal="center" vertical="center"/>
      <protection hidden="1"/>
    </xf>
    <xf numFmtId="0" fontId="38" fillId="8" borderId="0" xfId="0" applyFont="1" applyFill="1" applyAlignment="1" applyProtection="1">
      <alignment horizontal="center" vertical="center" wrapText="1"/>
      <protection hidden="1"/>
    </xf>
    <xf numFmtId="0" fontId="39" fillId="7" borderId="10" xfId="0" applyFont="1" applyFill="1" applyBorder="1" applyAlignment="1" applyProtection="1">
      <alignment horizontal="center" vertical="center"/>
      <protection hidden="1"/>
    </xf>
    <xf numFmtId="0" fontId="12" fillId="8" borderId="0" xfId="0" applyFont="1" applyFill="1" applyAlignment="1" applyProtection="1">
      <alignment vertical="center"/>
      <protection hidden="1"/>
    </xf>
    <xf numFmtId="0" fontId="19" fillId="8" borderId="0" xfId="0" applyFont="1" applyFill="1" applyAlignment="1" applyProtection="1">
      <alignment vertical="center"/>
      <protection hidden="1"/>
    </xf>
    <xf numFmtId="14" fontId="20" fillId="11" borderId="17" xfId="0" applyNumberFormat="1" applyFont="1" applyFill="1" applyBorder="1" applyAlignment="1" applyProtection="1">
      <alignment horizontal="center" vertical="center" wrapText="1"/>
      <protection locked="0"/>
    </xf>
    <xf numFmtId="164" fontId="19" fillId="9" borderId="17" xfId="0" applyNumberFormat="1" applyFont="1" applyFill="1" applyBorder="1" applyAlignment="1" applyProtection="1">
      <alignment horizontal="center" vertical="center" wrapText="1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2" fontId="12" fillId="8" borderId="17" xfId="0" applyNumberFormat="1" applyFont="1" applyFill="1" applyBorder="1" applyAlignment="1" applyProtection="1">
      <alignment horizontal="center"/>
      <protection hidden="1"/>
    </xf>
    <xf numFmtId="2" fontId="40" fillId="8" borderId="17" xfId="0" applyNumberFormat="1" applyFont="1" applyFill="1" applyBorder="1" applyAlignment="1" applyProtection="1">
      <alignment horizontal="center"/>
      <protection hidden="1"/>
    </xf>
    <xf numFmtId="0" fontId="5" fillId="3" borderId="10" xfId="0" applyFont="1" applyFill="1" applyBorder="1" applyAlignment="1" applyProtection="1">
      <alignment vertical="center"/>
      <protection hidden="1"/>
    </xf>
    <xf numFmtId="49" fontId="5" fillId="3" borderId="11" xfId="0" applyNumberFormat="1" applyFont="1" applyFill="1" applyBorder="1" applyAlignment="1" applyProtection="1">
      <alignment vertical="center"/>
      <protection hidden="1"/>
    </xf>
    <xf numFmtId="164" fontId="8" fillId="5" borderId="13" xfId="0" applyNumberFormat="1" applyFont="1" applyFill="1" applyBorder="1" applyAlignment="1" applyProtection="1">
      <alignment horizontal="center" vertical="center"/>
      <protection locked="0"/>
    </xf>
    <xf numFmtId="0" fontId="38" fillId="0" borderId="17" xfId="0" applyFont="1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2" fillId="0" borderId="0" xfId="0" applyFont="1" applyAlignment="1" applyProtection="1">
      <alignment vertical="center"/>
      <protection hidden="1"/>
    </xf>
    <xf numFmtId="0" fontId="15" fillId="0" borderId="0" xfId="0" applyFont="1" applyAlignment="1" applyProtection="1">
      <alignment horizontal="center" vertical="center" wrapText="1"/>
      <protection hidden="1"/>
    </xf>
    <xf numFmtId="0" fontId="38" fillId="0" borderId="0" xfId="0" applyFont="1" applyAlignment="1" applyProtection="1">
      <alignment horizontal="center" vertical="center" wrapText="1"/>
      <protection hidden="1"/>
    </xf>
    <xf numFmtId="0" fontId="12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34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35" fillId="0" borderId="0" xfId="0" applyFont="1" applyProtection="1">
      <protection hidden="1"/>
    </xf>
    <xf numFmtId="0" fontId="11" fillId="0" borderId="0" xfId="0" applyFont="1" applyProtection="1">
      <protection hidden="1"/>
    </xf>
    <xf numFmtId="2" fontId="38" fillId="0" borderId="17" xfId="0" applyNumberFormat="1" applyFont="1" applyBorder="1" applyAlignment="1" applyProtection="1">
      <alignment horizontal="center" vertical="center"/>
      <protection hidden="1"/>
    </xf>
    <xf numFmtId="0" fontId="5" fillId="12" borderId="7" xfId="0" applyFont="1" applyFill="1" applyBorder="1" applyAlignment="1" applyProtection="1">
      <alignment vertical="center" wrapText="1"/>
      <protection hidden="1"/>
    </xf>
    <xf numFmtId="2" fontId="43" fillId="0" borderId="4" xfId="0" applyNumberFormat="1" applyFont="1" applyBorder="1" applyAlignment="1" applyProtection="1">
      <alignment horizontal="center" vertical="center"/>
      <protection locked="0"/>
    </xf>
    <xf numFmtId="2" fontId="43" fillId="0" borderId="17" xfId="0" applyNumberFormat="1" applyFont="1" applyBorder="1" applyAlignment="1" applyProtection="1">
      <alignment horizontal="center" vertical="center"/>
      <protection locked="0"/>
    </xf>
    <xf numFmtId="166" fontId="43" fillId="0" borderId="7" xfId="0" applyNumberFormat="1" applyFont="1" applyBorder="1" applyAlignment="1" applyProtection="1">
      <alignment horizontal="center" vertical="center"/>
      <protection locked="0"/>
    </xf>
    <xf numFmtId="166" fontId="43" fillId="0" borderId="5" xfId="0" applyNumberFormat="1" applyFont="1" applyBorder="1" applyAlignment="1" applyProtection="1">
      <alignment horizontal="center" vertical="center"/>
      <protection locked="0"/>
    </xf>
    <xf numFmtId="2" fontId="43" fillId="0" borderId="10" xfId="0" applyNumberFormat="1" applyFont="1" applyBorder="1" applyAlignment="1" applyProtection="1">
      <alignment horizontal="center" vertical="center"/>
      <protection locked="0"/>
    </xf>
    <xf numFmtId="166" fontId="43" fillId="0" borderId="11" xfId="0" applyNumberFormat="1" applyFont="1" applyBorder="1" applyAlignment="1" applyProtection="1">
      <alignment horizontal="center" vertical="center"/>
      <protection locked="0"/>
    </xf>
    <xf numFmtId="2" fontId="43" fillId="0" borderId="23" xfId="0" applyNumberFormat="1" applyFont="1" applyBorder="1" applyAlignment="1" applyProtection="1">
      <alignment horizontal="center" vertical="center"/>
      <protection locked="0"/>
    </xf>
    <xf numFmtId="2" fontId="43" fillId="0" borderId="24" xfId="0" applyNumberFormat="1" applyFont="1" applyBorder="1" applyAlignment="1" applyProtection="1">
      <alignment horizontal="center" vertical="center"/>
      <protection locked="0"/>
    </xf>
    <xf numFmtId="166" fontId="43" fillId="0" borderId="21" xfId="0" applyNumberFormat="1" applyFont="1" applyBorder="1" applyAlignment="1" applyProtection="1">
      <alignment horizontal="center" vertical="center"/>
      <protection locked="0"/>
    </xf>
    <xf numFmtId="166" fontId="43" fillId="0" borderId="25" xfId="0" applyNumberFormat="1" applyFont="1" applyBorder="1" applyAlignment="1" applyProtection="1">
      <alignment horizontal="center" vertical="center"/>
      <protection locked="0"/>
    </xf>
    <xf numFmtId="2" fontId="43" fillId="0" borderId="32" xfId="0" applyNumberFormat="1" applyFont="1" applyBorder="1" applyAlignment="1" applyProtection="1">
      <alignment horizontal="center" vertical="center"/>
      <protection locked="0"/>
    </xf>
    <xf numFmtId="166" fontId="43" fillId="0" borderId="33" xfId="0" applyNumberFormat="1" applyFont="1" applyBorder="1" applyAlignment="1" applyProtection="1">
      <alignment horizontal="center" vertical="center"/>
      <protection locked="0"/>
    </xf>
    <xf numFmtId="2" fontId="43" fillId="0" borderId="26" xfId="0" applyNumberFormat="1" applyFont="1" applyBorder="1" applyAlignment="1" applyProtection="1">
      <alignment horizontal="center" vertical="center"/>
      <protection locked="0"/>
    </xf>
    <xf numFmtId="2" fontId="43" fillId="0" borderId="34" xfId="0" applyNumberFormat="1" applyFont="1" applyBorder="1" applyAlignment="1" applyProtection="1">
      <alignment horizontal="center" vertical="center"/>
      <protection locked="0"/>
    </xf>
    <xf numFmtId="166" fontId="43" fillId="0" borderId="35" xfId="0" applyNumberFormat="1" applyFont="1" applyBorder="1" applyAlignment="1" applyProtection="1">
      <alignment horizontal="center" vertical="center"/>
      <protection locked="0"/>
    </xf>
    <xf numFmtId="2" fontId="43" fillId="0" borderId="28" xfId="0" applyNumberFormat="1" applyFont="1" applyBorder="1" applyAlignment="1" applyProtection="1">
      <alignment horizontal="center" vertical="center"/>
      <protection locked="0"/>
    </xf>
    <xf numFmtId="166" fontId="43" fillId="0" borderId="22" xfId="0" applyNumberFormat="1" applyFont="1" applyBorder="1" applyAlignment="1" applyProtection="1">
      <alignment horizontal="center" vertical="center"/>
      <protection locked="0"/>
    </xf>
    <xf numFmtId="2" fontId="43" fillId="0" borderId="29" xfId="0" applyNumberFormat="1" applyFont="1" applyBorder="1" applyAlignment="1" applyProtection="1">
      <alignment horizontal="center" vertical="center"/>
      <protection locked="0"/>
    </xf>
    <xf numFmtId="166" fontId="43" fillId="0" borderId="36" xfId="0" applyNumberFormat="1" applyFont="1" applyBorder="1" applyAlignment="1" applyProtection="1">
      <alignment horizontal="center" vertical="center"/>
      <protection locked="0"/>
    </xf>
    <xf numFmtId="166" fontId="43" fillId="0" borderId="27" xfId="0" applyNumberFormat="1" applyFont="1" applyBorder="1" applyAlignment="1" applyProtection="1">
      <alignment horizontal="center" vertical="center"/>
      <protection locked="0"/>
    </xf>
    <xf numFmtId="166" fontId="43" fillId="0" borderId="30" xfId="0" applyNumberFormat="1" applyFont="1" applyBorder="1" applyAlignment="1" applyProtection="1">
      <alignment horizontal="center" vertical="center"/>
      <protection locked="0"/>
    </xf>
    <xf numFmtId="166" fontId="43" fillId="0" borderId="31" xfId="0" applyNumberFormat="1" applyFont="1" applyBorder="1" applyAlignment="1" applyProtection="1">
      <alignment horizontal="center" vertical="center"/>
      <protection locked="0"/>
    </xf>
    <xf numFmtId="0" fontId="5" fillId="12" borderId="11" xfId="0" applyFont="1" applyFill="1" applyBorder="1" applyAlignment="1" applyProtection="1">
      <alignment vertical="center" wrapText="1"/>
      <protection hidden="1"/>
    </xf>
    <xf numFmtId="0" fontId="19" fillId="0" borderId="0" xfId="0" applyFont="1" applyProtection="1">
      <protection hidden="1"/>
    </xf>
    <xf numFmtId="0" fontId="14" fillId="0" borderId="0" xfId="0" applyFont="1" applyAlignment="1" applyProtection="1">
      <alignment vertical="center"/>
      <protection hidden="1"/>
    </xf>
    <xf numFmtId="166" fontId="9" fillId="3" borderId="32" xfId="0" applyNumberFormat="1" applyFont="1" applyFill="1" applyBorder="1" applyAlignment="1" applyProtection="1">
      <alignment horizontal="center" vertical="center"/>
      <protection locked="0"/>
    </xf>
    <xf numFmtId="166" fontId="8" fillId="3" borderId="27" xfId="0" applyNumberFormat="1" applyFont="1" applyFill="1" applyBorder="1" applyAlignment="1" applyProtection="1">
      <alignment horizontal="center" vertical="center"/>
      <protection locked="0"/>
    </xf>
    <xf numFmtId="166" fontId="9" fillId="3" borderId="26" xfId="0" applyNumberFormat="1" applyFont="1" applyFill="1" applyBorder="1" applyAlignment="1" applyProtection="1">
      <alignment horizontal="center" vertical="center"/>
      <protection locked="0"/>
    </xf>
    <xf numFmtId="166" fontId="8" fillId="3" borderId="26" xfId="0" applyNumberFormat="1" applyFont="1" applyFill="1" applyBorder="1" applyAlignment="1" applyProtection="1">
      <alignment horizontal="center" vertical="center"/>
      <protection locked="0"/>
    </xf>
    <xf numFmtId="166" fontId="8" fillId="3" borderId="28" xfId="0" applyNumberFormat="1" applyFont="1" applyFill="1" applyBorder="1" applyAlignment="1" applyProtection="1">
      <alignment horizontal="center" vertical="center"/>
      <protection locked="0"/>
    </xf>
    <xf numFmtId="166" fontId="8" fillId="3" borderId="29" xfId="0" applyNumberFormat="1" applyFont="1" applyFill="1" applyBorder="1" applyAlignment="1" applyProtection="1">
      <alignment horizontal="center" vertical="center"/>
      <protection locked="0"/>
    </xf>
    <xf numFmtId="166" fontId="8" fillId="3" borderId="30" xfId="0" applyNumberFormat="1" applyFont="1" applyFill="1" applyBorder="1" applyAlignment="1" applyProtection="1">
      <alignment horizontal="center" vertical="center"/>
      <protection locked="0"/>
    </xf>
    <xf numFmtId="166" fontId="8" fillId="3" borderId="31" xfId="0" applyNumberFormat="1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right" vertical="center" wrapText="1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6" xfId="0" applyFont="1" applyFill="1" applyBorder="1" applyAlignment="1" applyProtection="1">
      <alignment horizontal="center" vertical="center"/>
      <protection hidden="1"/>
    </xf>
    <xf numFmtId="1" fontId="14" fillId="12" borderId="10" xfId="0" applyNumberFormat="1" applyFont="1" applyFill="1" applyBorder="1" applyAlignment="1" applyProtection="1">
      <alignment horizontal="center" vertical="center" wrapText="1"/>
      <protection hidden="1"/>
    </xf>
    <xf numFmtId="0" fontId="43" fillId="0" borderId="4" xfId="0" applyFont="1" applyBorder="1" applyAlignment="1" applyProtection="1">
      <alignment horizontal="center" vertical="center"/>
      <protection locked="0"/>
    </xf>
    <xf numFmtId="0" fontId="5" fillId="12" borderId="17" xfId="0" applyFont="1" applyFill="1" applyBorder="1" applyAlignment="1" applyProtection="1">
      <alignment vertical="center" wrapText="1"/>
      <protection hidden="1"/>
    </xf>
    <xf numFmtId="49" fontId="38" fillId="0" borderId="17" xfId="0" applyNumberFormat="1" applyFont="1" applyBorder="1" applyAlignment="1" applyProtection="1">
      <alignment horizontal="center" vertical="center"/>
      <protection hidden="1"/>
    </xf>
    <xf numFmtId="0" fontId="5" fillId="12" borderId="42" xfId="0" applyFont="1" applyFill="1" applyBorder="1" applyAlignment="1" applyProtection="1">
      <alignment vertical="center" wrapText="1"/>
      <protection hidden="1"/>
    </xf>
    <xf numFmtId="0" fontId="5" fillId="12" borderId="43" xfId="0" applyFont="1" applyFill="1" applyBorder="1" applyAlignment="1" applyProtection="1">
      <alignment vertical="center" wrapText="1"/>
      <protection hidden="1"/>
    </xf>
    <xf numFmtId="0" fontId="6" fillId="3" borderId="50" xfId="0" applyFont="1" applyFill="1" applyBorder="1" applyAlignment="1" applyProtection="1">
      <alignment horizontal="center" vertical="center"/>
      <protection hidden="1"/>
    </xf>
    <xf numFmtId="0" fontId="43" fillId="5" borderId="29" xfId="0" applyFont="1" applyFill="1" applyBorder="1" applyAlignment="1" applyProtection="1">
      <alignment horizontal="center" vertical="center"/>
      <protection hidden="1"/>
    </xf>
    <xf numFmtId="0" fontId="45" fillId="0" borderId="0" xfId="0" applyFont="1" applyProtection="1">
      <protection hidden="1"/>
    </xf>
    <xf numFmtId="0" fontId="46" fillId="0" borderId="0" xfId="0" applyFont="1" applyProtection="1">
      <protection hidden="1"/>
    </xf>
    <xf numFmtId="0" fontId="45" fillId="0" borderId="0" xfId="0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center" vertical="center" wrapText="1"/>
      <protection hidden="1"/>
    </xf>
    <xf numFmtId="0" fontId="44" fillId="0" borderId="0" xfId="0" applyFont="1" applyAlignment="1" applyProtection="1">
      <alignment horizontal="center" vertical="center" wrapText="1"/>
      <protection hidden="1"/>
    </xf>
    <xf numFmtId="0" fontId="48" fillId="0" borderId="0" xfId="0" applyFont="1" applyProtection="1">
      <protection hidden="1"/>
    </xf>
    <xf numFmtId="164" fontId="49" fillId="0" borderId="0" xfId="0" applyNumberFormat="1" applyFont="1" applyProtection="1">
      <protection hidden="1"/>
    </xf>
    <xf numFmtId="0" fontId="43" fillId="0" borderId="17" xfId="0" applyFont="1" applyBorder="1" applyAlignment="1" applyProtection="1">
      <alignment horizontal="center" vertical="center"/>
      <protection locked="0"/>
    </xf>
    <xf numFmtId="0" fontId="6" fillId="13" borderId="0" xfId="0" applyFont="1" applyFill="1" applyProtection="1">
      <protection hidden="1"/>
    </xf>
    <xf numFmtId="0" fontId="20" fillId="14" borderId="10" xfId="0" applyFont="1" applyFill="1" applyBorder="1" applyAlignment="1">
      <alignment horizontal="center" vertical="center" wrapText="1"/>
    </xf>
    <xf numFmtId="166" fontId="43" fillId="5" borderId="29" xfId="0" applyNumberFormat="1" applyFont="1" applyFill="1" applyBorder="1" applyAlignment="1" applyProtection="1">
      <alignment horizontal="center" vertical="center"/>
      <protection hidden="1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46" fillId="0" borderId="53" xfId="0" applyFont="1" applyBorder="1" applyAlignment="1" applyProtection="1">
      <alignment horizontal="center" vertical="center"/>
      <protection locked="0"/>
    </xf>
    <xf numFmtId="0" fontId="46" fillId="0" borderId="44" xfId="0" applyFont="1" applyBorder="1" applyAlignment="1" applyProtection="1">
      <alignment horizontal="center" vertical="center"/>
      <protection locked="0"/>
    </xf>
    <xf numFmtId="0" fontId="6" fillId="0" borderId="54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46" fillId="0" borderId="55" xfId="0" applyFont="1" applyBorder="1" applyAlignment="1" applyProtection="1">
      <alignment horizontal="center" vertical="center"/>
      <protection locked="0"/>
    </xf>
    <xf numFmtId="0" fontId="43" fillId="0" borderId="4" xfId="0" applyFont="1" applyBorder="1" applyAlignment="1" applyProtection="1">
      <alignment horizontal="center" vertical="center"/>
      <protection hidden="1"/>
    </xf>
    <xf numFmtId="0" fontId="43" fillId="0" borderId="17" xfId="0" applyFont="1" applyBorder="1" applyAlignment="1" applyProtection="1">
      <alignment horizontal="center" vertical="center"/>
      <protection hidden="1"/>
    </xf>
    <xf numFmtId="0" fontId="6" fillId="0" borderId="57" xfId="0" applyFont="1" applyBorder="1" applyAlignment="1" applyProtection="1">
      <alignment horizontal="center"/>
      <protection locked="0"/>
    </xf>
    <xf numFmtId="0" fontId="6" fillId="0" borderId="56" xfId="0" applyFont="1" applyBorder="1" applyAlignment="1" applyProtection="1">
      <alignment horizontal="center"/>
      <protection locked="0"/>
    </xf>
    <xf numFmtId="0" fontId="6" fillId="0" borderId="58" xfId="0" applyFont="1" applyBorder="1" applyAlignment="1" applyProtection="1">
      <alignment horizontal="center"/>
      <protection locked="0"/>
    </xf>
    <xf numFmtId="169" fontId="43" fillId="5" borderId="7" xfId="0" applyNumberFormat="1" applyFont="1" applyFill="1" applyBorder="1" applyAlignment="1" applyProtection="1">
      <alignment horizontal="center" vertical="center"/>
      <protection hidden="1"/>
    </xf>
    <xf numFmtId="169" fontId="43" fillId="5" borderId="8" xfId="0" applyNumberFormat="1" applyFont="1" applyFill="1" applyBorder="1" applyAlignment="1" applyProtection="1">
      <alignment horizontal="center" vertical="center"/>
      <protection hidden="1"/>
    </xf>
    <xf numFmtId="0" fontId="43" fillId="0" borderId="10" xfId="0" applyFont="1" applyBorder="1" applyAlignment="1" applyProtection="1">
      <alignment horizontal="center" vertical="center"/>
      <protection locked="0"/>
    </xf>
    <xf numFmtId="0" fontId="43" fillId="0" borderId="35" xfId="0" applyFont="1" applyBorder="1" applyAlignment="1" applyProtection="1">
      <alignment horizontal="center" vertical="center"/>
      <protection locked="0"/>
    </xf>
    <xf numFmtId="0" fontId="10" fillId="12" borderId="1" xfId="0" applyFont="1" applyFill="1" applyBorder="1" applyAlignment="1" applyProtection="1">
      <alignment horizontal="center" vertical="center"/>
      <protection hidden="1"/>
    </xf>
    <xf numFmtId="0" fontId="10" fillId="12" borderId="2" xfId="0" applyFont="1" applyFill="1" applyBorder="1" applyAlignment="1" applyProtection="1">
      <alignment horizontal="center" vertical="center"/>
      <protection hidden="1"/>
    </xf>
    <xf numFmtId="0" fontId="10" fillId="12" borderId="3" xfId="0" applyFont="1" applyFill="1" applyBorder="1" applyAlignment="1" applyProtection="1">
      <alignment horizontal="center" vertical="center"/>
      <protection hidden="1"/>
    </xf>
    <xf numFmtId="0" fontId="43" fillId="0" borderId="17" xfId="0" applyFont="1" applyBorder="1" applyAlignment="1" applyProtection="1">
      <alignment horizontal="center" vertical="center"/>
      <protection locked="0"/>
    </xf>
    <xf numFmtId="0" fontId="43" fillId="0" borderId="7" xfId="0" applyFont="1" applyBorder="1" applyAlignment="1" applyProtection="1">
      <alignment horizontal="center" vertical="center"/>
      <protection locked="0"/>
    </xf>
    <xf numFmtId="2" fontId="43" fillId="0" borderId="17" xfId="0" applyNumberFormat="1" applyFont="1" applyBorder="1" applyAlignment="1" applyProtection="1">
      <alignment horizontal="center" vertical="center"/>
      <protection locked="0"/>
    </xf>
    <xf numFmtId="2" fontId="43" fillId="0" borderId="33" xfId="0" applyNumberFormat="1" applyFont="1" applyBorder="1" applyAlignment="1" applyProtection="1">
      <alignment horizontal="center" vertical="center"/>
      <protection locked="0"/>
    </xf>
    <xf numFmtId="2" fontId="43" fillId="0" borderId="4" xfId="0" applyNumberFormat="1" applyFont="1" applyBorder="1" applyAlignment="1" applyProtection="1">
      <alignment horizontal="center" vertical="center"/>
      <protection locked="0"/>
    </xf>
    <xf numFmtId="2" fontId="43" fillId="0" borderId="5" xfId="0" applyNumberFormat="1" applyFont="1" applyBorder="1" applyAlignment="1" applyProtection="1">
      <alignment horizontal="center" vertical="center"/>
      <protection locked="0"/>
    </xf>
    <xf numFmtId="0" fontId="43" fillId="0" borderId="9" xfId="0" applyFont="1" applyBorder="1" applyAlignment="1" applyProtection="1">
      <alignment horizontal="center" vertical="center"/>
      <protection locked="0"/>
    </xf>
    <xf numFmtId="0" fontId="43" fillId="0" borderId="8" xfId="0" applyFont="1" applyBorder="1" applyAlignment="1" applyProtection="1">
      <alignment horizontal="center" vertical="center"/>
      <protection locked="0"/>
    </xf>
    <xf numFmtId="0" fontId="43" fillId="0" borderId="33" xfId="0" applyFont="1" applyBorder="1" applyAlignment="1" applyProtection="1">
      <alignment horizontal="center" vertical="center"/>
      <protection locked="0"/>
    </xf>
    <xf numFmtId="0" fontId="5" fillId="12" borderId="17" xfId="0" applyFont="1" applyFill="1" applyBorder="1" applyAlignment="1" applyProtection="1">
      <alignment horizontal="center" vertical="center" wrapText="1"/>
      <protection hidden="1"/>
    </xf>
    <xf numFmtId="0" fontId="5" fillId="12" borderId="26" xfId="0" applyFont="1" applyFill="1" applyBorder="1" applyAlignment="1" applyProtection="1">
      <alignment horizontal="center" vertical="center" wrapText="1"/>
      <protection hidden="1"/>
    </xf>
    <xf numFmtId="0" fontId="5" fillId="12" borderId="4" xfId="0" applyFont="1" applyFill="1" applyBorder="1" applyAlignment="1" applyProtection="1">
      <alignment horizontal="center" vertical="center" wrapText="1"/>
      <protection hidden="1"/>
    </xf>
    <xf numFmtId="0" fontId="5" fillId="12" borderId="27" xfId="0" applyFont="1" applyFill="1" applyBorder="1" applyAlignment="1" applyProtection="1">
      <alignment horizontal="center" vertical="center" wrapText="1"/>
      <protection hidden="1"/>
    </xf>
    <xf numFmtId="1" fontId="43" fillId="5" borderId="26" xfId="0" applyNumberFormat="1" applyFont="1" applyFill="1" applyBorder="1" applyAlignment="1" applyProtection="1">
      <alignment horizontal="center" vertical="center" wrapText="1"/>
      <protection hidden="1"/>
    </xf>
    <xf numFmtId="1" fontId="43" fillId="5" borderId="17" xfId="0" applyNumberFormat="1" applyFont="1" applyFill="1" applyBorder="1" applyAlignment="1" applyProtection="1">
      <alignment horizontal="center" vertical="center" wrapText="1"/>
      <protection hidden="1"/>
    </xf>
    <xf numFmtId="1" fontId="43" fillId="5" borderId="17" xfId="0" applyNumberFormat="1" applyFont="1" applyFill="1" applyBorder="1" applyAlignment="1" applyProtection="1">
      <alignment horizontal="center" vertical="center"/>
      <protection hidden="1"/>
    </xf>
    <xf numFmtId="1" fontId="43" fillId="5" borderId="33" xfId="0" applyNumberFormat="1" applyFont="1" applyFill="1" applyBorder="1" applyAlignment="1" applyProtection="1">
      <alignment horizontal="center" vertical="center" wrapText="1"/>
      <protection hidden="1"/>
    </xf>
    <xf numFmtId="0" fontId="5" fillId="12" borderId="39" xfId="0" applyFont="1" applyFill="1" applyBorder="1" applyAlignment="1" applyProtection="1">
      <alignment horizontal="right" vertical="center"/>
      <protection hidden="1"/>
    </xf>
    <xf numFmtId="0" fontId="5" fillId="12" borderId="40" xfId="0" applyFont="1" applyFill="1" applyBorder="1" applyAlignment="1" applyProtection="1">
      <alignment horizontal="right" vertical="center"/>
      <protection hidden="1"/>
    </xf>
    <xf numFmtId="2" fontId="43" fillId="5" borderId="24" xfId="0" applyNumberFormat="1" applyFont="1" applyFill="1" applyBorder="1" applyAlignment="1" applyProtection="1">
      <alignment horizontal="center" vertical="center" wrapText="1"/>
      <protection hidden="1"/>
    </xf>
    <xf numFmtId="2" fontId="43" fillId="5" borderId="25" xfId="0" applyNumberFormat="1" applyFont="1" applyFill="1" applyBorder="1" applyAlignment="1" applyProtection="1">
      <alignment horizontal="center" vertical="center" wrapText="1"/>
      <protection hidden="1"/>
    </xf>
    <xf numFmtId="0" fontId="5" fillId="12" borderId="26" xfId="0" applyFont="1" applyFill="1" applyBorder="1" applyAlignment="1" applyProtection="1">
      <alignment horizontal="right" vertical="center"/>
      <protection hidden="1"/>
    </xf>
    <xf numFmtId="0" fontId="5" fillId="12" borderId="17" xfId="0" applyFont="1" applyFill="1" applyBorder="1" applyAlignment="1" applyProtection="1">
      <alignment horizontal="right" vertical="center"/>
      <protection hidden="1"/>
    </xf>
    <xf numFmtId="0" fontId="43" fillId="3" borderId="17" xfId="0" applyFont="1" applyFill="1" applyBorder="1" applyAlignment="1" applyProtection="1">
      <alignment horizontal="center" vertical="center"/>
      <protection locked="0"/>
    </xf>
    <xf numFmtId="0" fontId="43" fillId="3" borderId="33" xfId="0" applyFont="1" applyFill="1" applyBorder="1" applyAlignment="1" applyProtection="1">
      <alignment horizontal="center" vertical="center"/>
      <protection locked="0"/>
    </xf>
    <xf numFmtId="164" fontId="43" fillId="5" borderId="17" xfId="0" applyNumberFormat="1" applyFont="1" applyFill="1" applyBorder="1" applyAlignment="1" applyProtection="1">
      <alignment horizontal="center" vertical="center"/>
      <protection hidden="1"/>
    </xf>
    <xf numFmtId="164" fontId="43" fillId="5" borderId="33" xfId="0" applyNumberFormat="1" applyFont="1" applyFill="1" applyBorder="1" applyAlignment="1" applyProtection="1">
      <alignment horizontal="center" vertical="center"/>
      <protection hidden="1"/>
    </xf>
    <xf numFmtId="0" fontId="5" fillId="12" borderId="34" xfId="0" applyFont="1" applyFill="1" applyBorder="1" applyAlignment="1" applyProtection="1">
      <alignment horizontal="right" vertical="center"/>
      <protection hidden="1"/>
    </xf>
    <xf numFmtId="0" fontId="5" fillId="12" borderId="10" xfId="0" applyFont="1" applyFill="1" applyBorder="1" applyAlignment="1" applyProtection="1">
      <alignment horizontal="right" vertical="center"/>
      <protection hidden="1"/>
    </xf>
    <xf numFmtId="0" fontId="43" fillId="5" borderId="10" xfId="0" applyFont="1" applyFill="1" applyBorder="1" applyAlignment="1" applyProtection="1">
      <alignment horizontal="center" vertical="center"/>
      <protection hidden="1"/>
    </xf>
    <xf numFmtId="0" fontId="43" fillId="5" borderId="35" xfId="0" applyFont="1" applyFill="1" applyBorder="1" applyAlignment="1" applyProtection="1">
      <alignment horizontal="center" vertical="center"/>
      <protection hidden="1"/>
    </xf>
    <xf numFmtId="0" fontId="41" fillId="12" borderId="1" xfId="0" applyFont="1" applyFill="1" applyBorder="1" applyAlignment="1" applyProtection="1">
      <alignment horizontal="center" vertical="center"/>
      <protection hidden="1"/>
    </xf>
    <xf numFmtId="0" fontId="41" fillId="12" borderId="2" xfId="0" applyFont="1" applyFill="1" applyBorder="1" applyAlignment="1" applyProtection="1">
      <alignment horizontal="center" vertical="center"/>
      <protection hidden="1"/>
    </xf>
    <xf numFmtId="0" fontId="41" fillId="12" borderId="3" xfId="0" applyFont="1" applyFill="1" applyBorder="1" applyAlignment="1" applyProtection="1">
      <alignment horizontal="center" vertical="center"/>
      <protection hidden="1"/>
    </xf>
    <xf numFmtId="2" fontId="43" fillId="0" borderId="37" xfId="0" applyNumberFormat="1" applyFont="1" applyBorder="1" applyAlignment="1" applyProtection="1">
      <alignment horizontal="center" vertical="center"/>
      <protection locked="0"/>
    </xf>
    <xf numFmtId="2" fontId="43" fillId="0" borderId="38" xfId="0" applyNumberFormat="1" applyFont="1" applyBorder="1" applyAlignment="1" applyProtection="1">
      <alignment horizontal="center" vertical="center"/>
      <protection locked="0"/>
    </xf>
    <xf numFmtId="2" fontId="43" fillId="0" borderId="44" xfId="0" applyNumberFormat="1" applyFont="1" applyBorder="1" applyAlignment="1" applyProtection="1">
      <alignment horizontal="center" vertical="center"/>
      <protection locked="0"/>
    </xf>
    <xf numFmtId="2" fontId="43" fillId="5" borderId="17" xfId="0" applyNumberFormat="1" applyFont="1" applyFill="1" applyBorder="1" applyAlignment="1" applyProtection="1">
      <alignment horizontal="center" vertical="center" wrapText="1"/>
      <protection hidden="1"/>
    </xf>
    <xf numFmtId="2" fontId="43" fillId="5" borderId="33" xfId="0" applyNumberFormat="1" applyFont="1" applyFill="1" applyBorder="1" applyAlignment="1" applyProtection="1">
      <alignment horizontal="center" vertical="center" wrapText="1"/>
      <protection hidden="1"/>
    </xf>
    <xf numFmtId="2" fontId="43" fillId="5" borderId="1" xfId="0" applyNumberFormat="1" applyFont="1" applyFill="1" applyBorder="1" applyAlignment="1" applyProtection="1">
      <alignment horizontal="center" vertical="center"/>
      <protection hidden="1"/>
    </xf>
    <xf numFmtId="2" fontId="43" fillId="5" borderId="2" xfId="0" applyNumberFormat="1" applyFont="1" applyFill="1" applyBorder="1" applyAlignment="1" applyProtection="1">
      <alignment horizontal="center" vertical="center"/>
      <protection hidden="1"/>
    </xf>
    <xf numFmtId="2" fontId="43" fillId="5" borderId="3" xfId="0" applyNumberFormat="1" applyFont="1" applyFill="1" applyBorder="1" applyAlignment="1" applyProtection="1">
      <alignment horizontal="center" vertical="center"/>
      <protection hidden="1"/>
    </xf>
    <xf numFmtId="0" fontId="5" fillId="12" borderId="41" xfId="0" applyFont="1" applyFill="1" applyBorder="1" applyAlignment="1" applyProtection="1">
      <alignment horizontal="right" vertical="center"/>
      <protection hidden="1"/>
    </xf>
    <xf numFmtId="0" fontId="5" fillId="12" borderId="19" xfId="0" applyFont="1" applyFill="1" applyBorder="1" applyAlignment="1" applyProtection="1">
      <alignment horizontal="right" vertical="center"/>
      <protection hidden="1"/>
    </xf>
    <xf numFmtId="0" fontId="6" fillId="3" borderId="42" xfId="0" applyFont="1" applyFill="1" applyBorder="1" applyAlignment="1" applyProtection="1">
      <alignment horizontal="right" vertical="center"/>
      <protection hidden="1"/>
    </xf>
    <xf numFmtId="0" fontId="6" fillId="3" borderId="8" xfId="0" applyFont="1" applyFill="1" applyBorder="1" applyAlignment="1" applyProtection="1">
      <alignment horizontal="right" vertical="center"/>
      <protection hidden="1"/>
    </xf>
    <xf numFmtId="0" fontId="43" fillId="0" borderId="7" xfId="0" applyFont="1" applyBorder="1" applyAlignment="1" applyProtection="1">
      <alignment horizontal="center" vertical="center"/>
      <protection hidden="1"/>
    </xf>
    <xf numFmtId="0" fontId="43" fillId="0" borderId="47" xfId="0" applyFont="1" applyBorder="1" applyAlignment="1" applyProtection="1">
      <alignment horizontal="center" vertical="center"/>
      <protection hidden="1"/>
    </xf>
    <xf numFmtId="0" fontId="6" fillId="3" borderId="48" xfId="0" applyFont="1" applyFill="1" applyBorder="1" applyAlignment="1" applyProtection="1">
      <alignment horizontal="right" vertical="center"/>
      <protection hidden="1"/>
    </xf>
    <xf numFmtId="0" fontId="6" fillId="3" borderId="49" xfId="0" applyFont="1" applyFill="1" applyBorder="1" applyAlignment="1" applyProtection="1">
      <alignment horizontal="right" vertical="center"/>
      <protection hidden="1"/>
    </xf>
    <xf numFmtId="0" fontId="43" fillId="5" borderId="22" xfId="0" applyFont="1" applyFill="1" applyBorder="1" applyAlignment="1" applyProtection="1">
      <alignment horizontal="center" vertical="center"/>
      <protection hidden="1"/>
    </xf>
    <xf numFmtId="0" fontId="43" fillId="5" borderId="51" xfId="0" applyFont="1" applyFill="1" applyBorder="1" applyAlignment="1" applyProtection="1">
      <alignment horizontal="center" vertical="center"/>
      <protection hidden="1"/>
    </xf>
    <xf numFmtId="0" fontId="6" fillId="3" borderId="45" xfId="0" applyFont="1" applyFill="1" applyBorder="1" applyAlignment="1" applyProtection="1">
      <alignment horizontal="right" vertical="center"/>
      <protection hidden="1"/>
    </xf>
    <xf numFmtId="0" fontId="6" fillId="3" borderId="18" xfId="0" applyFont="1" applyFill="1" applyBorder="1" applyAlignment="1" applyProtection="1">
      <alignment horizontal="right" vertical="center"/>
      <protection hidden="1"/>
    </xf>
    <xf numFmtId="0" fontId="43" fillId="0" borderId="21" xfId="0" applyFont="1" applyBorder="1" applyAlignment="1" applyProtection="1">
      <alignment horizontal="center" vertical="center"/>
      <protection hidden="1"/>
    </xf>
    <xf numFmtId="0" fontId="43" fillId="0" borderId="46" xfId="0" applyFont="1" applyBorder="1" applyAlignment="1" applyProtection="1">
      <alignment horizontal="center" vertical="center"/>
      <protection hidden="1"/>
    </xf>
    <xf numFmtId="169" fontId="43" fillId="5" borderId="9" xfId="0" applyNumberFormat="1" applyFont="1" applyFill="1" applyBorder="1" applyAlignment="1" applyProtection="1">
      <alignment horizontal="center" vertical="center"/>
      <protection hidden="1"/>
    </xf>
    <xf numFmtId="0" fontId="5" fillId="12" borderId="33" xfId="0" applyFont="1" applyFill="1" applyBorder="1" applyAlignment="1" applyProtection="1">
      <alignment horizontal="center" vertical="center" wrapText="1"/>
      <protection hidden="1"/>
    </xf>
    <xf numFmtId="166" fontId="43" fillId="5" borderId="22" xfId="0" applyNumberFormat="1" applyFont="1" applyFill="1" applyBorder="1" applyAlignment="1" applyProtection="1">
      <alignment horizontal="center" vertical="center"/>
      <protection hidden="1"/>
    </xf>
    <xf numFmtId="166" fontId="43" fillId="5" borderId="51" xfId="0" applyNumberFormat="1" applyFont="1" applyFill="1" applyBorder="1" applyAlignment="1" applyProtection="1">
      <alignment horizontal="center" vertical="center"/>
      <protection hidden="1"/>
    </xf>
    <xf numFmtId="0" fontId="20" fillId="14" borderId="7" xfId="0" applyFont="1" applyFill="1" applyBorder="1" applyAlignment="1">
      <alignment horizontal="center" vertical="center"/>
    </xf>
    <xf numFmtId="0" fontId="20" fillId="14" borderId="8" xfId="0" applyFont="1" applyFill="1" applyBorder="1" applyAlignment="1">
      <alignment horizontal="center" vertical="center"/>
    </xf>
    <xf numFmtId="0" fontId="20" fillId="14" borderId="10" xfId="0" applyFont="1" applyFill="1" applyBorder="1" applyAlignment="1">
      <alignment horizontal="center" vertical="center" wrapText="1"/>
    </xf>
    <xf numFmtId="0" fontId="20" fillId="14" borderId="13" xfId="0" applyFont="1" applyFill="1" applyBorder="1" applyAlignment="1">
      <alignment horizontal="center" vertical="center" wrapText="1"/>
    </xf>
    <xf numFmtId="0" fontId="20" fillId="14" borderId="7" xfId="0" applyFont="1" applyFill="1" applyBorder="1" applyAlignment="1">
      <alignment horizontal="center" vertical="center" wrapText="1"/>
    </xf>
    <xf numFmtId="0" fontId="20" fillId="14" borderId="8" xfId="0" applyFont="1" applyFill="1" applyBorder="1" applyAlignment="1">
      <alignment horizontal="center" vertical="center" wrapText="1"/>
    </xf>
    <xf numFmtId="0" fontId="20" fillId="14" borderId="9" xfId="0" applyFont="1" applyFill="1" applyBorder="1" applyAlignment="1">
      <alignment horizontal="center" vertical="center" wrapText="1"/>
    </xf>
    <xf numFmtId="49" fontId="43" fillId="3" borderId="17" xfId="0" applyNumberFormat="1" applyFont="1" applyFill="1" applyBorder="1" applyAlignment="1" applyProtection="1">
      <alignment horizontal="center" vertical="center"/>
      <protection locked="0"/>
    </xf>
    <xf numFmtId="49" fontId="43" fillId="3" borderId="33" xfId="0" applyNumberFormat="1" applyFont="1" applyFill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46" xfId="0" applyFont="1" applyBorder="1" applyAlignment="1" applyProtection="1">
      <alignment horizontal="center" vertical="center"/>
      <protection locked="0"/>
    </xf>
    <xf numFmtId="0" fontId="43" fillId="0" borderId="47" xfId="0" applyFont="1" applyBorder="1" applyAlignment="1" applyProtection="1">
      <alignment horizontal="center" vertical="center"/>
      <protection locked="0"/>
    </xf>
    <xf numFmtId="0" fontId="6" fillId="3" borderId="15" xfId="0" applyFont="1" applyFill="1" applyBorder="1" applyAlignment="1" applyProtection="1">
      <alignment horizontal="justify" vertical="center" wrapText="1"/>
      <protection hidden="1"/>
    </xf>
    <xf numFmtId="0" fontId="6" fillId="3" borderId="0" xfId="0" applyFont="1" applyFill="1" applyAlignment="1" applyProtection="1">
      <alignment horizontal="justify" vertical="center" wrapText="1"/>
      <protection hidden="1"/>
    </xf>
    <xf numFmtId="0" fontId="6" fillId="3" borderId="16" xfId="0" applyFont="1" applyFill="1" applyBorder="1" applyAlignment="1" applyProtection="1">
      <alignment horizontal="justify" vertical="center" wrapText="1"/>
      <protection hidden="1"/>
    </xf>
    <xf numFmtId="0" fontId="6" fillId="3" borderId="15" xfId="0" applyFont="1" applyFill="1" applyBorder="1" applyAlignment="1" applyProtection="1">
      <alignment horizontal="left" vertical="top" wrapText="1"/>
      <protection hidden="1"/>
    </xf>
    <xf numFmtId="0" fontId="6" fillId="3" borderId="0" xfId="0" applyFont="1" applyFill="1" applyAlignment="1" applyProtection="1">
      <alignment horizontal="left" vertical="top" wrapText="1"/>
      <protection hidden="1"/>
    </xf>
    <xf numFmtId="0" fontId="6" fillId="3" borderId="16" xfId="0" applyFont="1" applyFill="1" applyBorder="1" applyAlignment="1" applyProtection="1">
      <alignment horizontal="left" vertical="top" wrapText="1"/>
      <protection hidden="1"/>
    </xf>
    <xf numFmtId="2" fontId="1" fillId="5" borderId="2" xfId="0" applyNumberFormat="1" applyFont="1" applyFill="1" applyBorder="1" applyAlignment="1" applyProtection="1">
      <alignment horizontal="center" vertical="center"/>
      <protection hidden="1"/>
    </xf>
    <xf numFmtId="2" fontId="1" fillId="5" borderId="3" xfId="0" applyNumberFormat="1" applyFont="1" applyFill="1" applyBorder="1" applyAlignment="1" applyProtection="1">
      <alignment horizontal="center" vertical="center"/>
      <protection hidden="1"/>
    </xf>
    <xf numFmtId="2" fontId="16" fillId="8" borderId="7" xfId="0" applyNumberFormat="1" applyFont="1" applyFill="1" applyBorder="1" applyAlignment="1" applyProtection="1">
      <alignment horizontal="center"/>
      <protection hidden="1"/>
    </xf>
    <xf numFmtId="2" fontId="16" fillId="8" borderId="9" xfId="0" applyNumberFormat="1" applyFont="1" applyFill="1" applyBorder="1" applyAlignment="1" applyProtection="1">
      <alignment horizontal="center"/>
      <protection hidden="1"/>
    </xf>
    <xf numFmtId="0" fontId="6" fillId="3" borderId="15" xfId="0" applyFont="1" applyFill="1" applyBorder="1" applyAlignment="1" applyProtection="1">
      <alignment horizontal="left" vertical="center" wrapText="1"/>
      <protection hidden="1"/>
    </xf>
    <xf numFmtId="0" fontId="6" fillId="3" borderId="0" xfId="0" applyFont="1" applyFill="1" applyAlignment="1" applyProtection="1">
      <alignment horizontal="left" vertical="center" wrapText="1"/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horizontal="right" vertical="center"/>
      <protection hidden="1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2" fontId="4" fillId="6" borderId="3" xfId="0" applyNumberFormat="1" applyFont="1" applyFill="1" applyBorder="1" applyAlignment="1" applyProtection="1">
      <alignment horizontal="center" vertical="center"/>
      <protection locked="0"/>
    </xf>
    <xf numFmtId="0" fontId="8" fillId="5" borderId="17" xfId="0" applyFont="1" applyFill="1" applyBorder="1" applyAlignment="1" applyProtection="1">
      <alignment horizontal="center" vertical="center"/>
      <protection locked="0"/>
    </xf>
    <xf numFmtId="165" fontId="25" fillId="5" borderId="7" xfId="0" applyNumberFormat="1" applyFont="1" applyFill="1" applyBorder="1" applyAlignment="1" applyProtection="1">
      <alignment horizontal="center" vertical="center"/>
      <protection locked="0"/>
    </xf>
    <xf numFmtId="165" fontId="25" fillId="5" borderId="9" xfId="0" applyNumberFormat="1" applyFont="1" applyFill="1" applyBorder="1" applyAlignment="1" applyProtection="1">
      <alignment horizontal="center" vertical="center"/>
      <protection locked="0"/>
    </xf>
    <xf numFmtId="165" fontId="25" fillId="5" borderId="15" xfId="0" applyNumberFormat="1" applyFont="1" applyFill="1" applyBorder="1" applyAlignment="1" applyProtection="1">
      <alignment horizontal="center" vertical="center"/>
      <protection locked="0"/>
    </xf>
    <xf numFmtId="165" fontId="25" fillId="5" borderId="16" xfId="0" applyNumberFormat="1" applyFont="1" applyFill="1" applyBorder="1" applyAlignment="1" applyProtection="1">
      <alignment horizontal="center" vertical="center"/>
      <protection locked="0"/>
    </xf>
    <xf numFmtId="0" fontId="26" fillId="5" borderId="17" xfId="0" applyFont="1" applyFill="1" applyBorder="1" applyAlignment="1" applyProtection="1">
      <alignment horizontal="center" vertical="center"/>
      <protection locked="0"/>
    </xf>
    <xf numFmtId="165" fontId="25" fillId="5" borderId="11" xfId="0" applyNumberFormat="1" applyFont="1" applyFill="1" applyBorder="1" applyAlignment="1" applyProtection="1">
      <alignment horizontal="center" vertical="center"/>
      <protection locked="0"/>
    </xf>
    <xf numFmtId="165" fontId="25" fillId="5" borderId="12" xfId="0" applyNumberFormat="1" applyFont="1" applyFill="1" applyBorder="1" applyAlignment="1" applyProtection="1">
      <alignment horizontal="center" vertical="center"/>
      <protection locked="0"/>
    </xf>
    <xf numFmtId="0" fontId="28" fillId="5" borderId="10" xfId="0" applyFont="1" applyFill="1" applyBorder="1" applyAlignment="1" applyProtection="1">
      <alignment horizontal="center" vertical="center"/>
      <protection locked="0"/>
    </xf>
    <xf numFmtId="2" fontId="1" fillId="5" borderId="1" xfId="0" applyNumberFormat="1" applyFont="1" applyFill="1" applyBorder="1" applyAlignment="1" applyProtection="1">
      <alignment horizontal="center" vertical="center"/>
      <protection hidden="1"/>
    </xf>
    <xf numFmtId="0" fontId="28" fillId="5" borderId="17" xfId="0" applyFont="1" applyFill="1" applyBorder="1" applyAlignment="1" applyProtection="1">
      <alignment horizontal="center" vertical="center"/>
      <protection locked="0"/>
    </xf>
    <xf numFmtId="0" fontId="28" fillId="5" borderId="7" xfId="0" applyFont="1" applyFill="1" applyBorder="1" applyAlignment="1" applyProtection="1">
      <alignment horizontal="center" vertical="center"/>
      <protection locked="0"/>
    </xf>
    <xf numFmtId="0" fontId="26" fillId="5" borderId="7" xfId="0" applyFont="1" applyFill="1" applyBorder="1" applyAlignment="1" applyProtection="1">
      <alignment horizontal="center" vertical="center"/>
      <protection locked="0"/>
    </xf>
    <xf numFmtId="0" fontId="26" fillId="5" borderId="8" xfId="0" applyFont="1" applyFill="1" applyBorder="1" applyAlignment="1" applyProtection="1">
      <alignment horizontal="center" vertical="center"/>
      <protection locked="0"/>
    </xf>
    <xf numFmtId="165" fontId="28" fillId="5" borderId="4" xfId="0" applyNumberFormat="1" applyFont="1" applyFill="1" applyBorder="1" applyAlignment="1" applyProtection="1">
      <alignment horizontal="center" vertical="center"/>
      <protection locked="0"/>
    </xf>
    <xf numFmtId="165" fontId="28" fillId="5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1" fillId="2" borderId="3" xfId="0" applyFont="1" applyFill="1" applyBorder="1" applyAlignment="1" applyProtection="1">
      <alignment horizontal="center" vertical="center"/>
      <protection hidden="1"/>
    </xf>
    <xf numFmtId="0" fontId="3" fillId="4" borderId="5" xfId="0" applyFont="1" applyFill="1" applyBorder="1" applyAlignment="1" applyProtection="1">
      <alignment horizontal="center" vertical="center"/>
      <protection hidden="1"/>
    </xf>
    <xf numFmtId="0" fontId="3" fillId="4" borderId="6" xfId="0" applyFont="1" applyFill="1" applyBorder="1" applyAlignment="1" applyProtection="1">
      <alignment horizontal="center" vertical="center"/>
      <protection hidden="1"/>
    </xf>
    <xf numFmtId="2" fontId="39" fillId="7" borderId="11" xfId="0" applyNumberFormat="1" applyFont="1" applyFill="1" applyBorder="1" applyAlignment="1" applyProtection="1">
      <alignment horizontal="center" vertical="center"/>
      <protection hidden="1"/>
    </xf>
    <xf numFmtId="2" fontId="39" fillId="7" borderId="12" xfId="0" applyNumberFormat="1" applyFont="1" applyFill="1" applyBorder="1" applyAlignment="1" applyProtection="1">
      <alignment horizontal="center" vertical="center"/>
      <protection hidden="1"/>
    </xf>
    <xf numFmtId="2" fontId="28" fillId="5" borderId="17" xfId="0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_Hoja2" xfId="1" xr:uid="{2A9148B8-D7A0-47A8-BC18-DB1EF1DDF65A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B3664"/>
      <color rgb="FFACB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27710</xdr:colOff>
      <xdr:row>0</xdr:row>
      <xdr:rowOff>0</xdr:rowOff>
    </xdr:from>
    <xdr:to>
      <xdr:col>6</xdr:col>
      <xdr:colOff>1039092</xdr:colOff>
      <xdr:row>0</xdr:row>
      <xdr:rowOff>374072</xdr:rowOff>
    </xdr:to>
    <xdr:sp macro="[0]!EXPORTADOR" textlink="">
      <xdr:nvSpPr>
        <xdr:cNvPr id="2" name="Rectángulo 1">
          <a:extLst>
            <a:ext uri="{FF2B5EF4-FFF2-40B4-BE49-F238E27FC236}">
              <a16:creationId xmlns:a16="http://schemas.microsoft.com/office/drawing/2014/main" id="{73DE0CB1-FFB1-4941-ADC4-BA16465238D2}"/>
            </a:ext>
          </a:extLst>
        </xdr:cNvPr>
        <xdr:cNvSpPr/>
      </xdr:nvSpPr>
      <xdr:spPr>
        <a:xfrm>
          <a:off x="7335290" y="0"/>
          <a:ext cx="1011382" cy="374072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000">
              <a:solidFill>
                <a:srgbClr val="FFFF00"/>
              </a:solidFill>
              <a:latin typeface="Arial" panose="020B0604020202020204" pitchFamily="34" charset="0"/>
              <a:cs typeface="Arial" panose="020B0604020202020204" pitchFamily="34" charset="0"/>
            </a:rPr>
            <a:t>EXPORTAR</a:t>
          </a:r>
        </a:p>
      </xdr:txBody>
    </xdr:sp>
    <xdr:clientData/>
  </xdr:twoCellAnchor>
  <xdr:twoCellAnchor>
    <xdr:from>
      <xdr:col>7</xdr:col>
      <xdr:colOff>38745</xdr:colOff>
      <xdr:row>0</xdr:row>
      <xdr:rowOff>25831</xdr:rowOff>
    </xdr:from>
    <xdr:to>
      <xdr:col>9</xdr:col>
      <xdr:colOff>309966</xdr:colOff>
      <xdr:row>1</xdr:row>
      <xdr:rowOff>38746</xdr:rowOff>
    </xdr:to>
    <xdr:sp macro="[0]!LIMPIAR_DA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136E4F7-6CCA-44A4-88FB-A7EB0D88D775}"/>
            </a:ext>
          </a:extLst>
        </xdr:cNvPr>
        <xdr:cNvSpPr/>
      </xdr:nvSpPr>
      <xdr:spPr>
        <a:xfrm>
          <a:off x="8413125" y="25831"/>
          <a:ext cx="2016201" cy="40915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400" b="1" kern="1200"/>
            <a:t>LIMPIAR DATOS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833BE-2663-4345-855E-C34724CA5BDD}">
  <sheetPr codeName="Hoja3">
    <tabColor rgb="FFFFC000"/>
    <pageSetUpPr fitToPage="1"/>
  </sheetPr>
  <dimension ref="A1:T57"/>
  <sheetViews>
    <sheetView topLeftCell="A36" zoomScale="70" zoomScaleNormal="70" workbookViewId="0">
      <selection activeCell="I50" sqref="I50"/>
    </sheetView>
  </sheetViews>
  <sheetFormatPr baseColWidth="10" defaultColWidth="11.5546875" defaultRowHeight="15" x14ac:dyDescent="0.25"/>
  <cols>
    <col min="1" max="1" width="32.109375" style="202" customWidth="1"/>
    <col min="2" max="2" width="15" style="202" customWidth="1"/>
    <col min="3" max="3" width="15.5546875" style="202" customWidth="1"/>
    <col min="4" max="4" width="31.5546875" style="202" customWidth="1"/>
    <col min="5" max="5" width="15" style="202" customWidth="1"/>
    <col min="6" max="6" width="17.44140625" style="197" customWidth="1"/>
    <col min="7" max="7" width="8.44140625" style="202" customWidth="1"/>
    <col min="8" max="10" width="8.44140625" style="197" customWidth="1"/>
    <col min="11" max="11" width="9.44140625" style="197" bestFit="1" customWidth="1"/>
    <col min="12" max="12" width="12.5546875" style="197" bestFit="1" customWidth="1"/>
    <col min="13" max="13" width="11.5546875" style="197" bestFit="1" customWidth="1"/>
    <col min="14" max="14" width="25.5546875" style="197" bestFit="1" customWidth="1"/>
    <col min="15" max="15" width="22.44140625" style="197" bestFit="1" customWidth="1"/>
    <col min="16" max="16" width="16.109375" style="197" bestFit="1" customWidth="1"/>
    <col min="17" max="17" width="12.44140625" style="197" bestFit="1" customWidth="1"/>
    <col min="18" max="18" width="25.5546875" style="197" bestFit="1" customWidth="1"/>
    <col min="19" max="19" width="22.44140625" style="197" bestFit="1" customWidth="1"/>
    <col min="20" max="20" width="6.44140625" style="197" bestFit="1" customWidth="1"/>
    <col min="21" max="21" width="11.5546875" style="197" bestFit="1"/>
    <col min="22" max="16384" width="11.5546875" style="197"/>
  </cols>
  <sheetData>
    <row r="1" spans="1:17" ht="31.35" customHeight="1" thickBot="1" x14ac:dyDescent="0.3">
      <c r="A1" s="225" t="s">
        <v>0</v>
      </c>
      <c r="B1" s="226"/>
      <c r="C1" s="226"/>
      <c r="D1" s="226"/>
      <c r="E1" s="226"/>
      <c r="F1" s="227"/>
      <c r="G1" s="145"/>
      <c r="H1" s="146"/>
      <c r="I1" s="146"/>
      <c r="J1" s="146"/>
      <c r="K1" s="146"/>
      <c r="L1" s="146"/>
      <c r="M1" s="140"/>
      <c r="N1" s="140"/>
      <c r="O1" s="140"/>
      <c r="P1" s="140"/>
      <c r="Q1" s="140"/>
    </row>
    <row r="2" spans="1:17" ht="25.35" customHeight="1" x14ac:dyDescent="0.3">
      <c r="A2" s="193" t="s">
        <v>1</v>
      </c>
      <c r="B2" s="228">
        <v>1</v>
      </c>
      <c r="C2" s="229"/>
      <c r="D2" s="152" t="s">
        <v>2</v>
      </c>
      <c r="E2" s="230">
        <v>24.5</v>
      </c>
      <c r="F2" s="231"/>
      <c r="G2" s="147"/>
      <c r="H2" s="147"/>
      <c r="I2" s="147"/>
      <c r="J2" s="147"/>
      <c r="K2" s="147"/>
      <c r="L2" s="147"/>
      <c r="M2" s="147"/>
      <c r="N2" s="147"/>
      <c r="O2" s="147"/>
      <c r="P2" s="141"/>
      <c r="Q2" s="141"/>
    </row>
    <row r="3" spans="1:17" ht="25.35" customHeight="1" x14ac:dyDescent="0.3">
      <c r="A3" s="193" t="s">
        <v>3</v>
      </c>
      <c r="B3" s="229" t="s">
        <v>4</v>
      </c>
      <c r="C3" s="234"/>
      <c r="D3" s="152" t="s">
        <v>5</v>
      </c>
      <c r="E3" s="228" t="s">
        <v>6</v>
      </c>
      <c r="F3" s="236"/>
      <c r="G3" s="147"/>
      <c r="H3" s="147"/>
      <c r="I3" s="147"/>
      <c r="J3" s="147"/>
      <c r="K3" s="147"/>
      <c r="L3" s="147"/>
      <c r="M3" s="147"/>
      <c r="N3" s="147"/>
      <c r="O3" s="147"/>
      <c r="P3" s="141"/>
      <c r="Q3" s="141"/>
    </row>
    <row r="4" spans="1:17" ht="25.35" customHeight="1" x14ac:dyDescent="0.3">
      <c r="A4" s="193" t="s">
        <v>7</v>
      </c>
      <c r="B4" s="229">
        <v>1</v>
      </c>
      <c r="C4" s="234"/>
      <c r="D4" s="191" t="s">
        <v>8</v>
      </c>
      <c r="E4" s="228">
        <v>5</v>
      </c>
      <c r="F4" s="236"/>
      <c r="G4" s="147"/>
      <c r="H4" s="147"/>
      <c r="I4" s="147"/>
      <c r="J4" s="147"/>
      <c r="K4" s="147"/>
      <c r="L4" s="147"/>
      <c r="M4" s="147"/>
      <c r="N4" s="147"/>
      <c r="O4" s="147"/>
      <c r="P4" s="141"/>
      <c r="Q4" s="141"/>
    </row>
    <row r="5" spans="1:17" s="198" customFormat="1" ht="25.35" customHeight="1" x14ac:dyDescent="0.3">
      <c r="A5" s="193" t="s">
        <v>9</v>
      </c>
      <c r="B5" s="232">
        <v>0.62</v>
      </c>
      <c r="C5" s="233"/>
      <c r="D5" s="237" t="s">
        <v>10</v>
      </c>
      <c r="E5" s="228" t="s">
        <v>11</v>
      </c>
      <c r="F5" s="236"/>
      <c r="G5" s="147"/>
      <c r="H5" s="147"/>
      <c r="I5" s="147"/>
      <c r="J5" s="147"/>
      <c r="K5" s="147"/>
      <c r="L5" s="147"/>
      <c r="M5" s="147"/>
      <c r="N5" s="147"/>
      <c r="O5" s="147"/>
      <c r="P5" s="141"/>
      <c r="Q5" s="141"/>
    </row>
    <row r="6" spans="1:17" s="198" customFormat="1" ht="25.35" customHeight="1" x14ac:dyDescent="0.3">
      <c r="A6" s="193" t="s">
        <v>12</v>
      </c>
      <c r="B6" s="221">
        <f>+IF($E$2="",1,VLOOKUP($E$2,LISTAS!A4:B163,2,FALSE))</f>
        <v>0.99717</v>
      </c>
      <c r="C6" s="284"/>
      <c r="D6" s="237"/>
      <c r="E6" s="228"/>
      <c r="F6" s="236"/>
      <c r="G6" s="147"/>
      <c r="H6" s="147"/>
      <c r="I6" s="147"/>
      <c r="J6" s="147"/>
      <c r="K6" s="147"/>
      <c r="L6" s="147"/>
      <c r="M6" s="147"/>
      <c r="N6" s="147"/>
      <c r="O6" s="147"/>
      <c r="P6" s="141"/>
      <c r="Q6" s="141"/>
    </row>
    <row r="7" spans="1:17" s="198" customFormat="1" ht="45" customHeight="1" x14ac:dyDescent="0.3">
      <c r="A7" s="238" t="s">
        <v>13</v>
      </c>
      <c r="B7" s="237"/>
      <c r="C7" s="237" t="s">
        <v>14</v>
      </c>
      <c r="D7" s="237"/>
      <c r="E7" s="237" t="s">
        <v>15</v>
      </c>
      <c r="F7" s="285"/>
      <c r="G7" s="147"/>
      <c r="H7" s="147"/>
      <c r="I7" s="147"/>
      <c r="J7" s="147"/>
      <c r="K7" s="147"/>
      <c r="L7" s="147"/>
      <c r="M7" s="147"/>
      <c r="N7" s="147"/>
      <c r="O7" s="147"/>
      <c r="P7" s="141"/>
      <c r="Q7" s="141"/>
    </row>
    <row r="8" spans="1:17" s="198" customFormat="1" ht="45" customHeight="1" x14ac:dyDescent="0.3">
      <c r="A8" s="241">
        <f>+(E29*1000)/B6</f>
        <v>368853.85641365062</v>
      </c>
      <c r="B8" s="242"/>
      <c r="C8" s="243">
        <f>(B14-E14)*1000/B6</f>
        <v>10379.373627365445</v>
      </c>
      <c r="D8" s="243"/>
      <c r="E8" s="242">
        <f>+A8-C8</f>
        <v>358474.48278628517</v>
      </c>
      <c r="F8" s="244"/>
      <c r="G8" s="147"/>
      <c r="H8" s="147"/>
      <c r="I8" s="147"/>
      <c r="J8" s="147"/>
      <c r="K8" s="147"/>
      <c r="L8" s="147"/>
      <c r="M8" s="147"/>
      <c r="N8" s="147"/>
      <c r="O8" s="147"/>
      <c r="P8" s="141"/>
      <c r="Q8" s="141"/>
    </row>
    <row r="9" spans="1:17" s="198" customFormat="1" ht="22.35" customHeight="1" x14ac:dyDescent="0.3">
      <c r="A9" s="249" t="s">
        <v>16</v>
      </c>
      <c r="B9" s="250"/>
      <c r="C9" s="250"/>
      <c r="D9" s="250"/>
      <c r="E9" s="251">
        <v>2.1339999999999999</v>
      </c>
      <c r="F9" s="252"/>
      <c r="G9" s="147"/>
      <c r="H9" s="147"/>
      <c r="I9" s="147"/>
      <c r="J9" s="147"/>
      <c r="K9" s="147"/>
      <c r="L9" s="147"/>
      <c r="M9" s="147"/>
      <c r="N9" s="147"/>
      <c r="O9" s="147"/>
      <c r="P9" s="141"/>
      <c r="Q9" s="141"/>
    </row>
    <row r="10" spans="1:17" s="198" customFormat="1" ht="22.35" customHeight="1" x14ac:dyDescent="0.3">
      <c r="A10" s="249" t="s">
        <v>18</v>
      </c>
      <c r="B10" s="250"/>
      <c r="C10" s="250"/>
      <c r="D10" s="250"/>
      <c r="E10" s="253">
        <f>E15/E8*1000</f>
        <v>2.2025277611481004</v>
      </c>
      <c r="F10" s="254"/>
      <c r="G10" s="147"/>
      <c r="H10" s="147"/>
      <c r="I10" s="147"/>
      <c r="J10" s="147"/>
      <c r="K10" s="147"/>
      <c r="L10" s="147"/>
      <c r="M10" s="147"/>
      <c r="N10" s="147"/>
      <c r="O10" s="147"/>
      <c r="P10" s="141"/>
      <c r="Q10" s="141"/>
    </row>
    <row r="11" spans="1:17" s="198" customFormat="1" ht="22.35" customHeight="1" x14ac:dyDescent="0.3">
      <c r="A11" s="249" t="s">
        <v>19</v>
      </c>
      <c r="B11" s="250"/>
      <c r="C11" s="250"/>
      <c r="D11" s="250"/>
      <c r="E11" s="253">
        <f>(E15/(E46+100)*100)/E8*1000</f>
        <v>2.1105406701688256</v>
      </c>
      <c r="F11" s="254"/>
      <c r="G11" s="147"/>
      <c r="H11" s="147"/>
      <c r="I11" s="147"/>
      <c r="J11" s="147"/>
      <c r="K11" s="147"/>
      <c r="L11" s="147"/>
      <c r="M11" s="147"/>
      <c r="N11" s="147"/>
      <c r="O11" s="147"/>
      <c r="P11" s="141"/>
      <c r="Q11" s="141"/>
    </row>
    <row r="12" spans="1:17" s="198" customFormat="1" ht="22.35" customHeight="1" thickBot="1" x14ac:dyDescent="0.35">
      <c r="A12" s="255" t="s">
        <v>20</v>
      </c>
      <c r="B12" s="256"/>
      <c r="C12" s="256"/>
      <c r="D12" s="256"/>
      <c r="E12" s="257">
        <f>+ROUND(E11/E9*100,2)</f>
        <v>98.9</v>
      </c>
      <c r="F12" s="258"/>
      <c r="G12" s="147"/>
      <c r="H12" s="147"/>
      <c r="I12" s="147"/>
      <c r="J12" s="147"/>
      <c r="K12" s="147"/>
      <c r="L12" s="147"/>
      <c r="M12" s="147"/>
      <c r="N12" s="147"/>
      <c r="O12" s="147"/>
      <c r="P12" s="141"/>
      <c r="Q12" s="141"/>
    </row>
    <row r="13" spans="1:17" s="198" customFormat="1" ht="54" customHeight="1" thickBot="1" x14ac:dyDescent="0.35">
      <c r="A13" s="259" t="s">
        <v>21</v>
      </c>
      <c r="B13" s="260"/>
      <c r="C13" s="260"/>
      <c r="D13" s="260"/>
      <c r="E13" s="260"/>
      <c r="F13" s="261"/>
      <c r="G13" s="147"/>
      <c r="H13" s="147"/>
      <c r="I13" s="147"/>
      <c r="J13" s="147"/>
      <c r="K13" s="147"/>
      <c r="L13" s="147"/>
      <c r="M13" s="147"/>
      <c r="N13" s="147"/>
      <c r="O13" s="147"/>
      <c r="P13" s="141"/>
      <c r="Q13" s="141"/>
    </row>
    <row r="14" spans="1:17" s="198" customFormat="1" ht="33" customHeight="1" thickBot="1" x14ac:dyDescent="0.35">
      <c r="A14" s="194" t="s">
        <v>22</v>
      </c>
      <c r="B14" s="262">
        <v>10.35</v>
      </c>
      <c r="C14" s="263"/>
      <c r="D14" s="175" t="s">
        <v>23</v>
      </c>
      <c r="E14" s="262">
        <v>0</v>
      </c>
      <c r="F14" s="264"/>
      <c r="G14" s="147"/>
      <c r="H14" s="147"/>
      <c r="I14" s="147"/>
      <c r="J14" s="147"/>
      <c r="K14" s="147"/>
      <c r="L14" s="147"/>
      <c r="M14" s="147"/>
      <c r="N14" s="147"/>
      <c r="O14" s="147"/>
      <c r="P14" s="141"/>
      <c r="Q14" s="141"/>
    </row>
    <row r="15" spans="1:17" s="198" customFormat="1" ht="43.35" customHeight="1" thickBot="1" x14ac:dyDescent="0.35">
      <c r="A15" s="245" t="s">
        <v>24</v>
      </c>
      <c r="B15" s="246"/>
      <c r="C15" s="246"/>
      <c r="D15" s="246"/>
      <c r="E15" s="247">
        <f>+IF(SUM(A42:F45)&gt;0,SUM(A16:F28)-E41,SUM(A16:F28))</f>
        <v>789.55</v>
      </c>
      <c r="F15" s="248"/>
      <c r="G15" s="147"/>
      <c r="H15" s="147"/>
      <c r="I15" s="147"/>
      <c r="J15" s="147"/>
      <c r="K15" s="147"/>
      <c r="L15" s="147"/>
      <c r="M15" s="147"/>
      <c r="N15" s="147"/>
      <c r="O15" s="147"/>
      <c r="P15" s="141"/>
      <c r="Q15" s="141"/>
    </row>
    <row r="16" spans="1:17" s="198" customFormat="1" ht="22.35" customHeight="1" x14ac:dyDescent="0.3">
      <c r="A16" s="159">
        <v>789.55</v>
      </c>
      <c r="B16" s="160"/>
      <c r="C16" s="160"/>
      <c r="D16" s="161"/>
      <c r="E16" s="161"/>
      <c r="F16" s="162"/>
      <c r="G16" s="147"/>
      <c r="H16" s="147"/>
      <c r="I16" s="147"/>
      <c r="J16" s="147"/>
      <c r="K16" s="147"/>
      <c r="L16" s="147"/>
      <c r="M16" s="147"/>
      <c r="N16" s="147"/>
      <c r="O16" s="147"/>
      <c r="P16" s="141"/>
      <c r="Q16" s="141"/>
    </row>
    <row r="17" spans="1:17" s="198" customFormat="1" ht="22.35" customHeight="1" x14ac:dyDescent="0.3">
      <c r="A17" s="163"/>
      <c r="B17" s="157"/>
      <c r="C17" s="157"/>
      <c r="D17" s="154"/>
      <c r="E17" s="155"/>
      <c r="F17" s="164"/>
      <c r="G17" s="147"/>
      <c r="H17" s="147"/>
      <c r="I17" s="147"/>
      <c r="J17" s="147"/>
      <c r="K17" s="147"/>
      <c r="L17" s="147"/>
      <c r="M17" s="147"/>
      <c r="N17" s="147"/>
      <c r="O17" s="147"/>
      <c r="P17" s="141"/>
      <c r="Q17" s="141"/>
    </row>
    <row r="18" spans="1:17" s="198" customFormat="1" ht="22.35" customHeight="1" x14ac:dyDescent="0.3">
      <c r="A18" s="165"/>
      <c r="B18" s="157"/>
      <c r="C18" s="157"/>
      <c r="D18" s="154"/>
      <c r="E18" s="155"/>
      <c r="F18" s="164"/>
      <c r="G18" s="147"/>
      <c r="H18" s="147"/>
      <c r="I18" s="147"/>
      <c r="J18" s="147"/>
      <c r="K18" s="147"/>
      <c r="L18" s="147"/>
      <c r="M18" s="147"/>
      <c r="N18" s="147"/>
      <c r="O18" s="147"/>
      <c r="P18" s="141"/>
      <c r="Q18" s="141"/>
    </row>
    <row r="19" spans="1:17" s="198" customFormat="1" ht="22.35" customHeight="1" x14ac:dyDescent="0.3">
      <c r="A19" s="165"/>
      <c r="B19" s="157"/>
      <c r="C19" s="157"/>
      <c r="D19" s="154"/>
      <c r="E19" s="155"/>
      <c r="F19" s="164"/>
      <c r="G19" s="147"/>
      <c r="H19" s="147"/>
      <c r="I19" s="147"/>
      <c r="J19" s="147"/>
      <c r="K19" s="147"/>
      <c r="L19" s="147"/>
      <c r="M19" s="147"/>
      <c r="N19" s="147"/>
      <c r="O19" s="147"/>
      <c r="P19" s="141"/>
      <c r="Q19" s="141"/>
    </row>
    <row r="20" spans="1:17" s="198" customFormat="1" ht="22.35" customHeight="1" x14ac:dyDescent="0.3">
      <c r="A20" s="166"/>
      <c r="B20" s="157"/>
      <c r="C20" s="157"/>
      <c r="D20" s="154"/>
      <c r="E20" s="155"/>
      <c r="F20" s="164"/>
      <c r="G20" s="147"/>
      <c r="H20" s="147"/>
      <c r="I20" s="147"/>
      <c r="J20" s="147"/>
      <c r="K20" s="147"/>
      <c r="L20" s="147"/>
      <c r="M20" s="147"/>
      <c r="N20" s="147"/>
      <c r="O20" s="147"/>
      <c r="P20" s="148"/>
      <c r="Q20" s="141"/>
    </row>
    <row r="21" spans="1:17" s="198" customFormat="1" ht="22.35" customHeight="1" x14ac:dyDescent="0.3">
      <c r="A21" s="166"/>
      <c r="B21" s="154"/>
      <c r="C21" s="157"/>
      <c r="D21" s="154"/>
      <c r="E21" s="158"/>
      <c r="F21" s="164"/>
      <c r="G21" s="147"/>
      <c r="H21" s="147"/>
      <c r="I21" s="147"/>
      <c r="J21" s="147"/>
      <c r="K21" s="147"/>
      <c r="L21" s="147"/>
      <c r="M21" s="147"/>
      <c r="N21" s="147"/>
      <c r="O21" s="147"/>
      <c r="P21" s="141"/>
      <c r="Q21" s="148"/>
    </row>
    <row r="22" spans="1:17" s="198" customFormat="1" ht="22.35" customHeight="1" x14ac:dyDescent="0.3">
      <c r="A22" s="166"/>
      <c r="B22" s="154"/>
      <c r="C22" s="157"/>
      <c r="D22" s="157"/>
      <c r="E22" s="158"/>
      <c r="F22" s="167"/>
      <c r="G22" s="147"/>
      <c r="H22" s="147"/>
      <c r="I22" s="147"/>
      <c r="J22" s="147"/>
      <c r="K22" s="147"/>
      <c r="L22" s="147"/>
      <c r="M22" s="147"/>
      <c r="N22" s="147"/>
      <c r="O22" s="147"/>
      <c r="P22" s="141"/>
      <c r="Q22" s="148"/>
    </row>
    <row r="23" spans="1:17" s="198" customFormat="1" ht="22.35" customHeight="1" x14ac:dyDescent="0.3">
      <c r="A23" s="166"/>
      <c r="B23" s="154"/>
      <c r="C23" s="154"/>
      <c r="D23" s="157"/>
      <c r="E23" s="158"/>
      <c r="F23" s="167"/>
      <c r="G23" s="147"/>
      <c r="H23" s="147"/>
      <c r="I23" s="147"/>
      <c r="J23" s="147"/>
      <c r="K23" s="147"/>
      <c r="L23" s="147"/>
      <c r="M23" s="147"/>
      <c r="N23" s="147"/>
      <c r="O23" s="147"/>
      <c r="P23" s="141"/>
      <c r="Q23" s="148"/>
    </row>
    <row r="24" spans="1:17" s="198" customFormat="1" ht="22.35" customHeight="1" x14ac:dyDescent="0.3">
      <c r="A24" s="166"/>
      <c r="B24" s="154"/>
      <c r="C24" s="154"/>
      <c r="D24" s="157"/>
      <c r="E24" s="158"/>
      <c r="F24" s="167"/>
      <c r="G24" s="147"/>
      <c r="H24" s="147"/>
      <c r="I24" s="147"/>
      <c r="J24" s="147"/>
      <c r="K24" s="147"/>
      <c r="L24" s="147"/>
      <c r="M24" s="147"/>
      <c r="N24" s="147"/>
      <c r="O24" s="147"/>
      <c r="P24" s="141"/>
      <c r="Q24" s="141"/>
    </row>
    <row r="25" spans="1:17" s="198" customFormat="1" ht="22.35" customHeight="1" x14ac:dyDescent="0.3">
      <c r="A25" s="165"/>
      <c r="B25" s="154"/>
      <c r="C25" s="154"/>
      <c r="D25" s="157"/>
      <c r="E25" s="158"/>
      <c r="F25" s="167"/>
      <c r="G25" s="147"/>
      <c r="H25" s="147"/>
      <c r="I25" s="147"/>
      <c r="J25" s="147"/>
      <c r="K25" s="147"/>
      <c r="L25" s="147"/>
      <c r="M25" s="147"/>
      <c r="N25" s="147"/>
      <c r="O25" s="147"/>
      <c r="P25" s="141"/>
      <c r="Q25" s="141"/>
    </row>
    <row r="26" spans="1:17" s="198" customFormat="1" ht="22.35" customHeight="1" x14ac:dyDescent="0.3">
      <c r="A26" s="165"/>
      <c r="B26" s="154"/>
      <c r="C26" s="153"/>
      <c r="D26" s="157"/>
      <c r="E26" s="158"/>
      <c r="F26" s="167"/>
      <c r="G26" s="147"/>
      <c r="H26" s="147"/>
      <c r="I26" s="147"/>
      <c r="J26" s="147"/>
      <c r="K26" s="147"/>
      <c r="L26" s="147"/>
      <c r="M26" s="147"/>
      <c r="N26" s="147"/>
      <c r="O26" s="147"/>
      <c r="P26" s="141"/>
      <c r="Q26" s="141"/>
    </row>
    <row r="27" spans="1:17" s="198" customFormat="1" ht="22.35" customHeight="1" x14ac:dyDescent="0.3">
      <c r="A27" s="165"/>
      <c r="B27" s="155"/>
      <c r="C27" s="153"/>
      <c r="D27" s="157"/>
      <c r="E27" s="158"/>
      <c r="F27" s="167"/>
      <c r="G27" s="147"/>
      <c r="H27" s="147"/>
      <c r="I27" s="147"/>
      <c r="J27" s="147"/>
      <c r="K27" s="147"/>
      <c r="L27" s="147"/>
      <c r="M27" s="147"/>
      <c r="N27" s="147"/>
      <c r="O27" s="147"/>
      <c r="P27" s="141"/>
      <c r="Q27" s="141"/>
    </row>
    <row r="28" spans="1:17" s="198" customFormat="1" ht="22.35" customHeight="1" thickBot="1" x14ac:dyDescent="0.35">
      <c r="A28" s="168"/>
      <c r="B28" s="169"/>
      <c r="C28" s="170"/>
      <c r="D28" s="170"/>
      <c r="E28" s="169"/>
      <c r="F28" s="171"/>
      <c r="G28" s="147"/>
      <c r="H28" s="147"/>
      <c r="I28" s="147"/>
      <c r="J28" s="147"/>
      <c r="K28" s="147"/>
      <c r="L28" s="147"/>
      <c r="M28" s="147"/>
      <c r="N28" s="147"/>
      <c r="O28" s="147"/>
      <c r="P28" s="141"/>
      <c r="Q28" s="141"/>
    </row>
    <row r="29" spans="1:17" s="198" customFormat="1" ht="47.1" customHeight="1" thickBot="1" x14ac:dyDescent="0.35">
      <c r="A29" s="255" t="s">
        <v>25</v>
      </c>
      <c r="B29" s="256"/>
      <c r="C29" s="256"/>
      <c r="D29" s="256"/>
      <c r="E29" s="265">
        <f>+IFERROR(IF(SUM(A42:F45)&gt;0,SUM(A30:F40)-(E41/B41)*1000,SUM(A30:F40)),"-")</f>
        <v>367.81</v>
      </c>
      <c r="F29" s="266"/>
      <c r="G29" s="147"/>
      <c r="H29" s="147"/>
      <c r="I29" s="147"/>
      <c r="J29" s="147"/>
      <c r="K29" s="147"/>
      <c r="L29" s="147"/>
      <c r="M29" s="147"/>
      <c r="N29" s="147"/>
      <c r="O29" s="147"/>
      <c r="P29" s="141"/>
      <c r="Q29" s="141"/>
    </row>
    <row r="30" spans="1:17" s="198" customFormat="1" ht="22.35" customHeight="1" x14ac:dyDescent="0.3">
      <c r="A30" s="159">
        <v>367.81</v>
      </c>
      <c r="B30" s="160"/>
      <c r="C30" s="160"/>
      <c r="D30" s="160"/>
      <c r="E30" s="161"/>
      <c r="F30" s="162"/>
      <c r="G30" s="147"/>
      <c r="H30" s="147"/>
      <c r="I30" s="147"/>
      <c r="J30" s="147"/>
      <c r="K30" s="147"/>
      <c r="L30" s="147"/>
      <c r="M30" s="147"/>
      <c r="N30" s="147"/>
      <c r="O30" s="147"/>
      <c r="P30" s="141"/>
      <c r="Q30" s="141"/>
    </row>
    <row r="31" spans="1:17" s="198" customFormat="1" ht="22.35" customHeight="1" x14ac:dyDescent="0.3">
      <c r="A31" s="165"/>
      <c r="B31" s="154"/>
      <c r="C31" s="154"/>
      <c r="D31" s="154"/>
      <c r="E31" s="156"/>
      <c r="F31" s="172"/>
      <c r="G31" s="147"/>
      <c r="H31" s="147"/>
      <c r="I31" s="147"/>
      <c r="J31" s="147"/>
      <c r="K31" s="147"/>
      <c r="L31" s="147"/>
      <c r="M31" s="147"/>
      <c r="N31" s="147"/>
      <c r="O31" s="147"/>
      <c r="P31" s="141"/>
      <c r="Q31" s="141"/>
    </row>
    <row r="32" spans="1:17" s="198" customFormat="1" ht="22.35" customHeight="1" x14ac:dyDescent="0.3">
      <c r="A32" s="165"/>
      <c r="B32" s="154"/>
      <c r="C32" s="153"/>
      <c r="D32" s="154"/>
      <c r="E32" s="156"/>
      <c r="F32" s="172"/>
      <c r="G32" s="147"/>
      <c r="H32" s="147"/>
      <c r="I32" s="147"/>
      <c r="J32" s="147"/>
      <c r="K32" s="147"/>
      <c r="L32" s="147"/>
      <c r="M32" s="147"/>
      <c r="N32" s="147"/>
      <c r="O32" s="147"/>
      <c r="P32" s="141"/>
      <c r="Q32" s="141"/>
    </row>
    <row r="33" spans="1:19" s="198" customFormat="1" ht="22.35" customHeight="1" x14ac:dyDescent="0.3">
      <c r="A33" s="165"/>
      <c r="B33" s="154"/>
      <c r="C33" s="154"/>
      <c r="D33" s="154"/>
      <c r="E33" s="156"/>
      <c r="F33" s="172"/>
      <c r="G33" s="147"/>
      <c r="H33" s="147"/>
      <c r="I33" s="147"/>
      <c r="J33" s="147"/>
      <c r="K33" s="147"/>
      <c r="L33" s="147"/>
      <c r="M33" s="147"/>
      <c r="N33" s="147"/>
      <c r="O33" s="147"/>
    </row>
    <row r="34" spans="1:19" s="198" customFormat="1" ht="22.35" customHeight="1" x14ac:dyDescent="0.3">
      <c r="A34" s="165"/>
      <c r="B34" s="154"/>
      <c r="C34" s="154"/>
      <c r="D34" s="154"/>
      <c r="E34" s="156"/>
      <c r="F34" s="172"/>
      <c r="G34" s="147"/>
      <c r="H34" s="147"/>
      <c r="I34" s="147"/>
      <c r="J34" s="147"/>
      <c r="K34" s="147"/>
      <c r="L34" s="147"/>
      <c r="M34" s="147"/>
      <c r="N34" s="147"/>
      <c r="O34" s="147"/>
    </row>
    <row r="35" spans="1:19" s="198" customFormat="1" ht="22.35" customHeight="1" x14ac:dyDescent="0.3">
      <c r="A35" s="165"/>
      <c r="B35" s="154"/>
      <c r="C35" s="154"/>
      <c r="D35" s="154"/>
      <c r="E35" s="156"/>
      <c r="F35" s="172"/>
      <c r="G35" s="147"/>
      <c r="H35" s="147"/>
      <c r="I35" s="147"/>
      <c r="J35" s="147"/>
      <c r="K35" s="147"/>
      <c r="L35" s="147"/>
      <c r="M35" s="147"/>
      <c r="N35" s="147"/>
      <c r="O35" s="147"/>
    </row>
    <row r="36" spans="1:19" s="198" customFormat="1" ht="22.35" customHeight="1" x14ac:dyDescent="0.3">
      <c r="A36" s="165"/>
      <c r="B36" s="154"/>
      <c r="C36" s="154"/>
      <c r="D36" s="154"/>
      <c r="E36" s="156"/>
      <c r="F36" s="172"/>
      <c r="G36" s="147"/>
      <c r="H36" s="147"/>
      <c r="I36" s="147"/>
      <c r="J36" s="147"/>
      <c r="K36" s="147"/>
      <c r="L36" s="147"/>
      <c r="M36" s="147"/>
      <c r="N36" s="147"/>
      <c r="O36" s="147"/>
    </row>
    <row r="37" spans="1:19" s="198" customFormat="1" ht="22.35" customHeight="1" x14ac:dyDescent="0.3">
      <c r="A37" s="165"/>
      <c r="B37" s="154"/>
      <c r="C37" s="154"/>
      <c r="D37" s="154"/>
      <c r="E37" s="156"/>
      <c r="F37" s="172"/>
      <c r="G37" s="145"/>
      <c r="H37" s="149"/>
      <c r="I37" s="149"/>
      <c r="J37" s="149"/>
      <c r="K37" s="149"/>
      <c r="L37" s="149"/>
      <c r="M37" s="141"/>
      <c r="N37" s="141"/>
      <c r="O37" s="141"/>
    </row>
    <row r="38" spans="1:19" s="198" customFormat="1" ht="22.35" customHeight="1" x14ac:dyDescent="0.3">
      <c r="A38" s="165"/>
      <c r="B38" s="154"/>
      <c r="C38" s="154"/>
      <c r="D38" s="154"/>
      <c r="E38" s="156"/>
      <c r="F38" s="172"/>
      <c r="G38" s="145"/>
      <c r="H38" s="149"/>
      <c r="I38" s="149"/>
      <c r="J38" s="149"/>
      <c r="K38" s="149"/>
      <c r="L38" s="149"/>
      <c r="M38" s="141"/>
      <c r="N38" s="141"/>
      <c r="O38" s="141"/>
    </row>
    <row r="39" spans="1:19" s="198" customFormat="1" ht="22.35" customHeight="1" x14ac:dyDescent="0.3">
      <c r="A39" s="165"/>
      <c r="B39" s="154"/>
      <c r="C39" s="154"/>
      <c r="D39" s="154"/>
      <c r="E39" s="156"/>
      <c r="F39" s="172"/>
      <c r="G39" s="145"/>
      <c r="H39" s="149"/>
      <c r="I39" s="149"/>
      <c r="J39" s="149"/>
      <c r="K39" s="149"/>
      <c r="L39" s="149"/>
      <c r="M39" s="141"/>
      <c r="N39" s="141"/>
      <c r="O39" s="141"/>
    </row>
    <row r="40" spans="1:19" s="198" customFormat="1" ht="22.35" customHeight="1" thickBot="1" x14ac:dyDescent="0.35">
      <c r="A40" s="168"/>
      <c r="B40" s="170"/>
      <c r="C40" s="170"/>
      <c r="D40" s="170"/>
      <c r="E40" s="173"/>
      <c r="F40" s="174"/>
      <c r="G40" s="145"/>
      <c r="H40" s="149"/>
      <c r="I40" s="149"/>
      <c r="J40" s="149"/>
      <c r="K40" s="149"/>
      <c r="L40" s="149"/>
      <c r="M40" s="141"/>
      <c r="N40" s="141"/>
      <c r="O40" s="141"/>
    </row>
    <row r="41" spans="1:19" s="198" customFormat="1" ht="41.1" customHeight="1" thickBot="1" x14ac:dyDescent="0.35">
      <c r="A41" s="186" t="s">
        <v>26</v>
      </c>
      <c r="B41" s="267">
        <v>2800</v>
      </c>
      <c r="C41" s="268"/>
      <c r="D41" s="186" t="s">
        <v>27</v>
      </c>
      <c r="E41" s="267">
        <f>+SUM(A42:F45)</f>
        <v>0</v>
      </c>
      <c r="F41" s="269"/>
      <c r="G41" s="145"/>
      <c r="H41" s="149"/>
      <c r="I41" s="149"/>
      <c r="J41" s="149"/>
      <c r="K41" s="149" t="s">
        <v>218</v>
      </c>
      <c r="L41" s="149"/>
      <c r="M41" s="141"/>
      <c r="N41" s="141"/>
      <c r="O41" s="141"/>
    </row>
    <row r="42" spans="1:19" s="198" customFormat="1" ht="22.35" customHeight="1" x14ac:dyDescent="0.3">
      <c r="A42" s="178"/>
      <c r="B42" s="1"/>
      <c r="C42" s="1"/>
      <c r="D42" s="1"/>
      <c r="E42" s="2"/>
      <c r="F42" s="179"/>
      <c r="G42" s="145"/>
      <c r="H42" s="149"/>
      <c r="I42" s="149"/>
      <c r="J42" s="149"/>
      <c r="K42" s="149"/>
      <c r="L42" s="149"/>
      <c r="M42" s="141"/>
      <c r="N42" s="141"/>
      <c r="O42" s="141"/>
    </row>
    <row r="43" spans="1:19" s="198" customFormat="1" ht="22.35" customHeight="1" x14ac:dyDescent="0.3">
      <c r="A43" s="180"/>
      <c r="B43" s="3"/>
      <c r="C43" s="3"/>
      <c r="D43" s="3"/>
      <c r="E43" s="2"/>
      <c r="F43" s="179"/>
      <c r="G43" s="145"/>
      <c r="H43" s="149"/>
      <c r="I43" s="149"/>
      <c r="J43" s="149"/>
      <c r="K43" s="149"/>
      <c r="L43" s="149"/>
      <c r="M43" s="141"/>
      <c r="N43" s="141"/>
      <c r="O43" s="141"/>
    </row>
    <row r="44" spans="1:19" s="198" customFormat="1" ht="22.35" customHeight="1" x14ac:dyDescent="0.3">
      <c r="A44" s="181"/>
      <c r="B44" s="3"/>
      <c r="C44" s="3"/>
      <c r="D44" s="3"/>
      <c r="E44" s="2"/>
      <c r="F44" s="179"/>
      <c r="G44" s="145"/>
      <c r="H44" s="149"/>
      <c r="I44" s="149"/>
      <c r="J44" s="149"/>
      <c r="K44" s="288" t="s">
        <v>219</v>
      </c>
      <c r="L44" s="289"/>
      <c r="M44" s="289"/>
      <c r="N44" s="289"/>
      <c r="O44" s="289"/>
      <c r="P44" s="289"/>
      <c r="Q44" s="289"/>
      <c r="R44" s="289"/>
      <c r="S44" s="289"/>
    </row>
    <row r="45" spans="1:19" s="198" customFormat="1" ht="23.1" customHeight="1" thickBot="1" x14ac:dyDescent="0.35">
      <c r="A45" s="182"/>
      <c r="B45" s="183"/>
      <c r="C45" s="183"/>
      <c r="D45" s="183"/>
      <c r="E45" s="184"/>
      <c r="F45" s="185"/>
      <c r="G45" s="145"/>
      <c r="H45" s="149"/>
      <c r="I45" s="149"/>
      <c r="J45" s="149"/>
      <c r="K45" s="290" t="s">
        <v>37</v>
      </c>
      <c r="L45" s="292">
        <v>1</v>
      </c>
      <c r="M45" s="293"/>
      <c r="N45" s="293"/>
      <c r="O45" s="294"/>
      <c r="P45" s="292" t="s">
        <v>211</v>
      </c>
      <c r="Q45" s="293"/>
      <c r="R45" s="293"/>
      <c r="S45" s="294"/>
    </row>
    <row r="46" spans="1:19" s="198" customFormat="1" ht="42.6" customHeight="1" thickBot="1" x14ac:dyDescent="0.35">
      <c r="A46" s="270" t="s">
        <v>28</v>
      </c>
      <c r="B46" s="271"/>
      <c r="C46" s="271"/>
      <c r="D46" s="271"/>
      <c r="E46" s="267">
        <f>+IFERROR(AVERAGE(D51:E51),"-")</f>
        <v>4.3584609517103798</v>
      </c>
      <c r="F46" s="269"/>
      <c r="G46" s="145"/>
      <c r="H46" s="149"/>
      <c r="I46" s="149"/>
      <c r="J46" s="149"/>
      <c r="K46" s="291"/>
      <c r="L46" s="206" t="s">
        <v>29</v>
      </c>
      <c r="M46" s="206" t="s">
        <v>212</v>
      </c>
      <c r="N46" s="206" t="s">
        <v>213</v>
      </c>
      <c r="O46" s="206" t="s">
        <v>214</v>
      </c>
      <c r="P46" s="206" t="s">
        <v>29</v>
      </c>
      <c r="Q46" s="206" t="s">
        <v>212</v>
      </c>
      <c r="R46" s="206" t="s">
        <v>213</v>
      </c>
      <c r="S46" s="206" t="s">
        <v>214</v>
      </c>
    </row>
    <row r="47" spans="1:19" s="198" customFormat="1" ht="22.35" customHeight="1" x14ac:dyDescent="0.3">
      <c r="A47" s="280" t="s">
        <v>29</v>
      </c>
      <c r="B47" s="281"/>
      <c r="C47" s="188" t="s">
        <v>30</v>
      </c>
      <c r="D47" s="216" t="str">
        <f>L47</f>
        <v>B19</v>
      </c>
      <c r="E47" s="282" t="str">
        <f>P47</f>
        <v>P3</v>
      </c>
      <c r="F47" s="283"/>
      <c r="G47" s="145"/>
      <c r="H47" s="149"/>
      <c r="I47" s="149"/>
      <c r="J47" s="205" t="s">
        <v>215</v>
      </c>
      <c r="K47" s="208" t="s">
        <v>4</v>
      </c>
      <c r="L47" s="209" t="s">
        <v>220</v>
      </c>
      <c r="M47" s="209">
        <v>1538</v>
      </c>
      <c r="N47" s="209">
        <v>7725</v>
      </c>
      <c r="O47" s="209">
        <v>7466</v>
      </c>
      <c r="P47" s="209" t="s">
        <v>221</v>
      </c>
      <c r="Q47" s="210">
        <v>1543</v>
      </c>
      <c r="R47" s="210">
        <v>8695</v>
      </c>
      <c r="S47" s="211">
        <v>8397</v>
      </c>
    </row>
    <row r="48" spans="1:19" s="198" customFormat="1" ht="22.35" customHeight="1" x14ac:dyDescent="0.3">
      <c r="A48" s="272" t="s">
        <v>31</v>
      </c>
      <c r="B48" s="273"/>
      <c r="C48" s="187" t="s">
        <v>32</v>
      </c>
      <c r="D48" s="217">
        <f>N47</f>
        <v>7725</v>
      </c>
      <c r="E48" s="274">
        <f>R47</f>
        <v>8695</v>
      </c>
      <c r="F48" s="275"/>
      <c r="G48" s="145"/>
      <c r="H48" s="149"/>
      <c r="I48" s="149"/>
      <c r="J48" s="205" t="s">
        <v>216</v>
      </c>
      <c r="K48" s="212" t="s">
        <v>4</v>
      </c>
      <c r="L48" s="213" t="s">
        <v>222</v>
      </c>
      <c r="M48" s="213">
        <v>1546</v>
      </c>
      <c r="N48" s="213">
        <v>9566</v>
      </c>
      <c r="O48" s="213">
        <v>9220</v>
      </c>
      <c r="P48" s="213" t="s">
        <v>223</v>
      </c>
      <c r="Q48" s="214">
        <v>1538</v>
      </c>
      <c r="R48" s="214">
        <v>11540</v>
      </c>
      <c r="S48" s="215">
        <v>11148</v>
      </c>
    </row>
    <row r="49" spans="1:20" s="198" customFormat="1" ht="22.35" customHeight="1" thickBot="1" x14ac:dyDescent="0.35">
      <c r="A49" s="272" t="s">
        <v>33</v>
      </c>
      <c r="B49" s="273"/>
      <c r="C49" s="187" t="s">
        <v>32</v>
      </c>
      <c r="D49" s="217">
        <f>O47</f>
        <v>7466</v>
      </c>
      <c r="E49" s="274">
        <f>S47</f>
        <v>8397</v>
      </c>
      <c r="F49" s="275"/>
      <c r="G49" s="145"/>
      <c r="H49" s="149"/>
      <c r="I49" s="149"/>
      <c r="J49" s="205" t="s">
        <v>217</v>
      </c>
      <c r="K49" s="219"/>
      <c r="L49" s="218"/>
      <c r="M49" s="218"/>
      <c r="N49" s="218"/>
      <c r="O49" s="218"/>
      <c r="P49" s="218"/>
      <c r="Q49" s="218"/>
      <c r="R49" s="218"/>
      <c r="S49" s="220"/>
      <c r="T49" s="141"/>
    </row>
    <row r="50" spans="1:20" s="198" customFormat="1" ht="22.35" customHeight="1" x14ac:dyDescent="0.3">
      <c r="A50" s="272" t="s">
        <v>34</v>
      </c>
      <c r="B50" s="273"/>
      <c r="C50" s="187" t="s">
        <v>32</v>
      </c>
      <c r="D50" s="217">
        <f>M47</f>
        <v>1538</v>
      </c>
      <c r="E50" s="274">
        <f>Q47</f>
        <v>1543</v>
      </c>
      <c r="F50" s="275"/>
      <c r="G50" s="145"/>
      <c r="H50" s="149"/>
      <c r="I50" s="149"/>
      <c r="J50" s="149"/>
      <c r="K50" s="141"/>
      <c r="L50" s="141"/>
      <c r="M50" s="141"/>
      <c r="N50" s="141"/>
      <c r="O50" s="141"/>
      <c r="P50" s="141"/>
      <c r="Q50" s="141"/>
      <c r="R50" s="141"/>
      <c r="S50" s="141"/>
      <c r="T50" s="141"/>
    </row>
    <row r="51" spans="1:20" s="198" customFormat="1" ht="22.35" customHeight="1" thickBot="1" x14ac:dyDescent="0.35">
      <c r="A51" s="276" t="s">
        <v>35</v>
      </c>
      <c r="B51" s="277"/>
      <c r="C51" s="195" t="s">
        <v>36</v>
      </c>
      <c r="D51" s="207">
        <f>+IFERROR((D48-D49)/(D49-D50)*100,"-")</f>
        <v>4.3690958164642382</v>
      </c>
      <c r="E51" s="286">
        <f>+IFERROR((E48-E49)/(E49-E50)*100,"-")</f>
        <v>4.3478260869565215</v>
      </c>
      <c r="F51" s="287"/>
      <c r="G51" s="145"/>
      <c r="H51" s="149"/>
      <c r="I51" s="149"/>
      <c r="J51" s="149"/>
      <c r="K51" s="149"/>
      <c r="L51" s="149"/>
      <c r="M51" s="141"/>
      <c r="N51" s="141"/>
      <c r="O51" s="141"/>
      <c r="P51" s="141"/>
      <c r="Q51" s="141"/>
      <c r="R51" s="141"/>
      <c r="S51" s="141"/>
      <c r="T51" s="141"/>
    </row>
    <row r="52" spans="1:20" ht="17.399999999999999" x14ac:dyDescent="0.3">
      <c r="A52" s="150"/>
      <c r="B52" s="145"/>
      <c r="C52" s="145"/>
      <c r="D52" s="145"/>
      <c r="E52" s="145"/>
      <c r="F52" s="146"/>
      <c r="G52" s="145"/>
      <c r="H52" s="146"/>
      <c r="I52" s="146"/>
      <c r="J52" s="146"/>
      <c r="K52" s="146"/>
      <c r="L52" s="146"/>
      <c r="M52" s="141"/>
      <c r="N52" s="141"/>
      <c r="O52" s="141"/>
      <c r="P52" s="141"/>
      <c r="Q52" s="141"/>
      <c r="R52" s="140"/>
      <c r="S52" s="140"/>
      <c r="T52" s="140"/>
    </row>
    <row r="53" spans="1:20" s="199" customFormat="1" ht="16.350000000000001" customHeight="1" x14ac:dyDescent="0.3">
      <c r="A53" s="142"/>
      <c r="B53" s="142"/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</row>
    <row r="54" spans="1:20" s="200" customFormat="1" ht="43.35" customHeight="1" x14ac:dyDescent="0.3">
      <c r="A54" s="189" t="s">
        <v>37</v>
      </c>
      <c r="B54" s="189" t="s">
        <v>38</v>
      </c>
      <c r="C54" s="189" t="s">
        <v>39</v>
      </c>
      <c r="D54" s="189" t="s">
        <v>40</v>
      </c>
      <c r="E54" s="189" t="s">
        <v>5</v>
      </c>
      <c r="F54" s="189" t="s">
        <v>41</v>
      </c>
      <c r="G54" s="189" t="s">
        <v>42</v>
      </c>
      <c r="H54" s="189" t="s">
        <v>43</v>
      </c>
      <c r="I54" s="189" t="s">
        <v>46</v>
      </c>
      <c r="J54" s="189" t="s">
        <v>44</v>
      </c>
      <c r="K54" s="189" t="s">
        <v>45</v>
      </c>
      <c r="L54" s="189" t="s">
        <v>43</v>
      </c>
      <c r="M54" s="189" t="s">
        <v>46</v>
      </c>
      <c r="N54" s="189" t="s">
        <v>44</v>
      </c>
      <c r="O54" s="189" t="s">
        <v>45</v>
      </c>
      <c r="P54" s="189" t="s">
        <v>47</v>
      </c>
      <c r="Q54" s="189" t="s">
        <v>48</v>
      </c>
      <c r="R54" s="189" t="s">
        <v>49</v>
      </c>
      <c r="S54" s="189" t="s">
        <v>50</v>
      </c>
      <c r="T54" s="189" t="s">
        <v>51</v>
      </c>
    </row>
    <row r="55" spans="1:20" s="201" customFormat="1" ht="44.85" customHeight="1" x14ac:dyDescent="0.3">
      <c r="A55" s="139" t="str">
        <f>+B3</f>
        <v>A</v>
      </c>
      <c r="B55" s="139">
        <f>+B4</f>
        <v>1</v>
      </c>
      <c r="C55" s="151">
        <f>+B5</f>
        <v>0.62</v>
      </c>
      <c r="D55" s="151">
        <f>+E2</f>
        <v>24.5</v>
      </c>
      <c r="E55" s="139" t="str">
        <f>+E3</f>
        <v>Rodillo liso</v>
      </c>
      <c r="F55" s="139" t="str">
        <f>+E5</f>
        <v>Grava mal gradada</v>
      </c>
      <c r="G55" s="139">
        <f>+E4</f>
        <v>5</v>
      </c>
      <c r="H55" s="139" t="str">
        <f>+D47</f>
        <v>B19</v>
      </c>
      <c r="I55" s="139">
        <f>+D50</f>
        <v>1538</v>
      </c>
      <c r="J55" s="139">
        <f>+D48</f>
        <v>7725</v>
      </c>
      <c r="K55" s="139">
        <f>+D49</f>
        <v>7466</v>
      </c>
      <c r="L55" s="139" t="str">
        <f>+E47</f>
        <v>P3</v>
      </c>
      <c r="M55" s="139">
        <f>+E50</f>
        <v>1543</v>
      </c>
      <c r="N55" s="139">
        <f>+E48</f>
        <v>8695</v>
      </c>
      <c r="O55" s="151">
        <f>+E49</f>
        <v>8397</v>
      </c>
      <c r="P55" s="139">
        <f>+E9*1000</f>
        <v>2134</v>
      </c>
      <c r="Q55" s="151">
        <f>+B14</f>
        <v>10.35</v>
      </c>
      <c r="R55" s="151">
        <f>+E14</f>
        <v>0</v>
      </c>
      <c r="S55" s="151">
        <f>+E15</f>
        <v>789.55</v>
      </c>
      <c r="T55" s="151">
        <f>+E29</f>
        <v>367.81</v>
      </c>
    </row>
    <row r="56" spans="1:20" x14ac:dyDescent="0.25">
      <c r="A56" s="176"/>
      <c r="B56" s="176"/>
      <c r="C56" s="176"/>
      <c r="D56" s="176"/>
      <c r="E56" s="176"/>
      <c r="F56" s="140"/>
      <c r="G56" s="176"/>
      <c r="H56" s="140"/>
      <c r="I56" s="140"/>
      <c r="J56" s="140"/>
      <c r="K56" s="140"/>
      <c r="L56" s="140"/>
      <c r="M56" s="140"/>
      <c r="N56" s="140"/>
      <c r="O56" s="140"/>
      <c r="P56" s="142"/>
      <c r="Q56" s="177"/>
      <c r="R56" s="140"/>
      <c r="S56" s="140"/>
      <c r="T56" s="140"/>
    </row>
    <row r="57" spans="1:20" x14ac:dyDescent="0.25">
      <c r="A57" s="176"/>
      <c r="B57" s="176"/>
      <c r="C57" s="176"/>
      <c r="D57" s="176"/>
      <c r="E57" s="176"/>
      <c r="F57" s="140"/>
      <c r="G57" s="176"/>
      <c r="H57" s="140"/>
      <c r="I57" s="140"/>
      <c r="J57" s="140"/>
      <c r="K57" s="140"/>
      <c r="L57" s="140"/>
      <c r="M57" s="140"/>
      <c r="N57" s="140"/>
      <c r="O57" s="140"/>
      <c r="P57" s="142"/>
      <c r="Q57" s="142"/>
      <c r="R57" s="140"/>
      <c r="S57" s="140"/>
      <c r="T57" s="140"/>
    </row>
  </sheetData>
  <sheetProtection algorithmName="SHA-512" hashValue="w6KeR0fyz4PL1gN19NKF4sSNpJbURiOnEf5hXOlSxsg3klvdXgCjuvUPRwFKaRd70G1qzArn9Ft4w02KRApkZg==" saltValue="LfgHPoUpHiOihqB5yRmeRg==" spinCount="100000" sheet="1" objects="1" scenarios="1"/>
  <mergeCells count="50">
    <mergeCell ref="K44:S44"/>
    <mergeCell ref="K45:K46"/>
    <mergeCell ref="L45:O45"/>
    <mergeCell ref="P45:S45"/>
    <mergeCell ref="A49:B49"/>
    <mergeCell ref="E49:F49"/>
    <mergeCell ref="A50:B50"/>
    <mergeCell ref="E50:F50"/>
    <mergeCell ref="A51:B51"/>
    <mergeCell ref="E51:F51"/>
    <mergeCell ref="A46:D46"/>
    <mergeCell ref="E46:F46"/>
    <mergeCell ref="A47:B47"/>
    <mergeCell ref="E47:F47"/>
    <mergeCell ref="A48:B48"/>
    <mergeCell ref="E48:F48"/>
    <mergeCell ref="A15:D15"/>
    <mergeCell ref="E15:F15"/>
    <mergeCell ref="A29:D29"/>
    <mergeCell ref="E29:F29"/>
    <mergeCell ref="B41:C41"/>
    <mergeCell ref="E41:F41"/>
    <mergeCell ref="B14:C14"/>
    <mergeCell ref="E14:F14"/>
    <mergeCell ref="A8:B8"/>
    <mergeCell ref="C8:D8"/>
    <mergeCell ref="E8:F8"/>
    <mergeCell ref="A9:D9"/>
    <mergeCell ref="E9:F9"/>
    <mergeCell ref="A10:D10"/>
    <mergeCell ref="E10:F10"/>
    <mergeCell ref="A11:D11"/>
    <mergeCell ref="E11:F11"/>
    <mergeCell ref="A12:D12"/>
    <mergeCell ref="E12:F12"/>
    <mergeCell ref="A13:F13"/>
    <mergeCell ref="B5:C5"/>
    <mergeCell ref="D5:D6"/>
    <mergeCell ref="E5:F6"/>
    <mergeCell ref="B6:C6"/>
    <mergeCell ref="A7:B7"/>
    <mergeCell ref="C7:D7"/>
    <mergeCell ref="E7:F7"/>
    <mergeCell ref="B4:C4"/>
    <mergeCell ref="E4:F4"/>
    <mergeCell ref="A1:F1"/>
    <mergeCell ref="B2:C2"/>
    <mergeCell ref="E2:F2"/>
    <mergeCell ref="B3:C3"/>
    <mergeCell ref="E3:F3"/>
  </mergeCells>
  <pageMargins left="0.7" right="0.7" top="0.75" bottom="0.75" header="0.3" footer="0.3"/>
  <pageSetup paperSize="9" scale="51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04D8-D388-4019-924E-B7CF91EC38C1}">
  <sheetPr codeName="Hoja2">
    <tabColor rgb="FFFFC000"/>
    <pageSetUpPr fitToPage="1"/>
  </sheetPr>
  <dimension ref="A1:T57"/>
  <sheetViews>
    <sheetView tabSelected="1" topLeftCell="A37" zoomScale="70" zoomScaleNormal="70" workbookViewId="0">
      <selection activeCell="E51" sqref="E51:F51"/>
    </sheetView>
  </sheetViews>
  <sheetFormatPr baseColWidth="10" defaultColWidth="11.5546875" defaultRowHeight="15" x14ac:dyDescent="0.25"/>
  <cols>
    <col min="1" max="1" width="32.109375" style="176" customWidth="1"/>
    <col min="2" max="2" width="15" style="176" customWidth="1"/>
    <col min="3" max="3" width="15.5546875" style="176" customWidth="1"/>
    <col min="4" max="4" width="31.5546875" style="176" customWidth="1"/>
    <col min="5" max="5" width="15" style="176" customWidth="1"/>
    <col min="6" max="6" width="17.44140625" style="140" customWidth="1"/>
    <col min="7" max="7" width="8.44140625" style="176" customWidth="1"/>
    <col min="8" max="20" width="8.44140625" style="140" customWidth="1"/>
    <col min="21" max="16384" width="11.5546875" style="140"/>
  </cols>
  <sheetData>
    <row r="1" spans="1:17" ht="31.35" customHeight="1" thickBot="1" x14ac:dyDescent="0.3">
      <c r="A1" s="225" t="s">
        <v>0</v>
      </c>
      <c r="B1" s="226"/>
      <c r="C1" s="226"/>
      <c r="D1" s="226"/>
      <c r="E1" s="226"/>
      <c r="F1" s="227"/>
      <c r="G1" s="145"/>
      <c r="H1" s="146"/>
      <c r="I1" s="146"/>
      <c r="J1" s="146"/>
      <c r="K1" s="146"/>
      <c r="L1" s="146"/>
    </row>
    <row r="2" spans="1:17" ht="25.35" customHeight="1" x14ac:dyDescent="0.3">
      <c r="A2" s="193" t="s">
        <v>1</v>
      </c>
      <c r="B2" s="228">
        <v>2</v>
      </c>
      <c r="C2" s="229"/>
      <c r="D2" s="152" t="s">
        <v>2</v>
      </c>
      <c r="E2" s="230">
        <v>24.8</v>
      </c>
      <c r="F2" s="231"/>
      <c r="G2" s="147"/>
      <c r="H2" s="147"/>
      <c r="I2" s="147"/>
      <c r="J2" s="147"/>
      <c r="K2" s="147"/>
      <c r="L2" s="147"/>
      <c r="M2" s="147"/>
      <c r="N2" s="147"/>
      <c r="O2" s="147"/>
      <c r="P2" s="141"/>
      <c r="Q2" s="141"/>
    </row>
    <row r="3" spans="1:17" ht="25.35" customHeight="1" x14ac:dyDescent="0.3">
      <c r="A3" s="193" t="s">
        <v>3</v>
      </c>
      <c r="B3" s="229" t="s">
        <v>4</v>
      </c>
      <c r="C3" s="234"/>
      <c r="D3" s="175" t="s">
        <v>5</v>
      </c>
      <c r="E3" s="223" t="s">
        <v>6</v>
      </c>
      <c r="F3" s="224"/>
      <c r="G3" s="147"/>
      <c r="H3" s="147"/>
      <c r="I3" s="147"/>
      <c r="J3" s="147"/>
      <c r="K3" s="147"/>
      <c r="L3" s="147"/>
      <c r="M3" s="147"/>
      <c r="N3" s="147"/>
      <c r="O3" s="147"/>
      <c r="P3" s="141"/>
      <c r="Q3" s="141"/>
    </row>
    <row r="4" spans="1:17" ht="25.35" customHeight="1" x14ac:dyDescent="0.3">
      <c r="A4" s="193" t="s">
        <v>7</v>
      </c>
      <c r="B4" s="229">
        <v>1</v>
      </c>
      <c r="C4" s="235"/>
      <c r="D4" s="191" t="s">
        <v>8</v>
      </c>
      <c r="E4" s="228">
        <v>5</v>
      </c>
      <c r="F4" s="236"/>
      <c r="G4" s="147"/>
      <c r="H4" s="147"/>
      <c r="I4" s="147"/>
      <c r="J4" s="147"/>
      <c r="K4" s="147"/>
      <c r="L4" s="147"/>
      <c r="M4" s="147"/>
      <c r="N4" s="147"/>
      <c r="O4" s="147"/>
      <c r="P4" s="141"/>
      <c r="Q4" s="141"/>
    </row>
    <row r="5" spans="1:17" s="141" customFormat="1" ht="25.35" customHeight="1" x14ac:dyDescent="0.3">
      <c r="A5" s="193" t="s">
        <v>9</v>
      </c>
      <c r="B5" s="232">
        <v>0.6</v>
      </c>
      <c r="C5" s="233"/>
      <c r="D5" s="237" t="s">
        <v>10</v>
      </c>
      <c r="E5" s="228" t="s">
        <v>11</v>
      </c>
      <c r="F5" s="236"/>
      <c r="G5" s="147"/>
      <c r="H5" s="147"/>
      <c r="I5" s="147"/>
      <c r="J5" s="147"/>
      <c r="K5" s="147"/>
      <c r="L5" s="147"/>
      <c r="M5" s="147"/>
      <c r="N5" s="147"/>
      <c r="O5" s="147"/>
    </row>
    <row r="6" spans="1:17" s="141" customFormat="1" ht="25.35" customHeight="1" x14ac:dyDescent="0.3">
      <c r="A6" s="193" t="s">
        <v>12</v>
      </c>
      <c r="B6" s="221">
        <f>+IF($E$2="",1,VLOOKUP($E$2,LISTAS!A4:B163,2,FALSE))</f>
        <v>0.99709999999999999</v>
      </c>
      <c r="C6" s="222"/>
      <c r="D6" s="237"/>
      <c r="E6" s="228"/>
      <c r="F6" s="236"/>
      <c r="G6" s="147"/>
      <c r="H6" s="147"/>
      <c r="I6" s="147"/>
      <c r="J6" s="147"/>
      <c r="K6" s="147"/>
      <c r="L6" s="147"/>
      <c r="M6" s="147"/>
      <c r="N6" s="147"/>
      <c r="O6" s="147"/>
    </row>
    <row r="7" spans="1:17" s="141" customFormat="1" ht="45" customHeight="1" x14ac:dyDescent="0.3">
      <c r="A7" s="238" t="s">
        <v>13</v>
      </c>
      <c r="B7" s="237"/>
      <c r="C7" s="237" t="s">
        <v>14</v>
      </c>
      <c r="D7" s="239"/>
      <c r="E7" s="239" t="s">
        <v>15</v>
      </c>
      <c r="F7" s="240"/>
      <c r="G7" s="147"/>
      <c r="H7" s="147"/>
      <c r="I7" s="147"/>
      <c r="J7" s="147"/>
      <c r="K7" s="147"/>
      <c r="L7" s="147"/>
      <c r="M7" s="147"/>
      <c r="N7" s="147"/>
      <c r="O7" s="147"/>
    </row>
    <row r="8" spans="1:17" s="141" customFormat="1" ht="45" customHeight="1" x14ac:dyDescent="0.3">
      <c r="A8" s="241">
        <f>+(E29*1000)/B6</f>
        <v>368879.75127870828</v>
      </c>
      <c r="B8" s="242"/>
      <c r="C8" s="243">
        <f>(B14-E14)*1000/B6</f>
        <v>9327.0484404773852</v>
      </c>
      <c r="D8" s="243"/>
      <c r="E8" s="242">
        <f>+A8-C8</f>
        <v>359552.70283823088</v>
      </c>
      <c r="F8" s="244"/>
      <c r="G8" s="147"/>
      <c r="H8" s="147"/>
      <c r="I8" s="147"/>
      <c r="J8" s="147"/>
      <c r="K8" s="147"/>
      <c r="L8" s="147"/>
      <c r="M8" s="147"/>
      <c r="N8" s="147"/>
      <c r="O8" s="147"/>
    </row>
    <row r="9" spans="1:17" s="141" customFormat="1" ht="22.35" customHeight="1" x14ac:dyDescent="0.3">
      <c r="A9" s="249" t="s">
        <v>16</v>
      </c>
      <c r="B9" s="250"/>
      <c r="C9" s="250"/>
      <c r="D9" s="250"/>
      <c r="E9" s="251">
        <v>2.1339999999999999</v>
      </c>
      <c r="F9" s="252"/>
      <c r="G9" s="147"/>
      <c r="H9" s="147"/>
      <c r="I9" s="147"/>
      <c r="J9" s="147"/>
      <c r="K9" s="147"/>
      <c r="L9" s="147"/>
      <c r="M9" s="147"/>
      <c r="N9" s="147"/>
      <c r="O9" s="147"/>
    </row>
    <row r="10" spans="1:17" s="141" customFormat="1" ht="22.35" customHeight="1" x14ac:dyDescent="0.3">
      <c r="A10" s="249" t="s">
        <v>18</v>
      </c>
      <c r="B10" s="250"/>
      <c r="C10" s="250"/>
      <c r="D10" s="250"/>
      <c r="E10" s="253">
        <f>E15/E8*1000</f>
        <v>1.7973721095645867</v>
      </c>
      <c r="F10" s="254"/>
      <c r="G10" s="147"/>
      <c r="H10" s="147"/>
      <c r="I10" s="147"/>
      <c r="J10" s="147"/>
      <c r="K10" s="147"/>
      <c r="L10" s="147"/>
      <c r="M10" s="147"/>
      <c r="N10" s="147"/>
      <c r="O10" s="147"/>
    </row>
    <row r="11" spans="1:17" s="141" customFormat="1" ht="22.35" customHeight="1" x14ac:dyDescent="0.3">
      <c r="A11" s="249" t="s">
        <v>19</v>
      </c>
      <c r="B11" s="250"/>
      <c r="C11" s="250"/>
      <c r="D11" s="250"/>
      <c r="E11" s="253">
        <f>(E15/(E46+100)*100)/E8*1000</f>
        <v>1.7233540529887212</v>
      </c>
      <c r="F11" s="254"/>
      <c r="G11" s="147"/>
      <c r="H11" s="147"/>
      <c r="I11" s="147"/>
      <c r="J11" s="147"/>
      <c r="K11" s="147"/>
      <c r="L11" s="147"/>
      <c r="M11" s="147"/>
      <c r="N11" s="147"/>
      <c r="O11" s="147"/>
    </row>
    <row r="12" spans="1:17" s="141" customFormat="1" ht="22.35" customHeight="1" thickBot="1" x14ac:dyDescent="0.35">
      <c r="A12" s="255" t="s">
        <v>20</v>
      </c>
      <c r="B12" s="256"/>
      <c r="C12" s="256"/>
      <c r="D12" s="256"/>
      <c r="E12" s="257">
        <f>+ROUND(E11/E9*100,2)</f>
        <v>80.760000000000005</v>
      </c>
      <c r="F12" s="258"/>
      <c r="G12" s="147"/>
      <c r="H12" s="147"/>
      <c r="I12" s="147"/>
      <c r="J12" s="147"/>
      <c r="K12" s="147"/>
      <c r="L12" s="147"/>
      <c r="M12" s="147"/>
      <c r="N12" s="147"/>
      <c r="O12" s="147"/>
    </row>
    <row r="13" spans="1:17" s="141" customFormat="1" ht="54" customHeight="1" thickBot="1" x14ac:dyDescent="0.35">
      <c r="A13" s="259" t="s">
        <v>21</v>
      </c>
      <c r="B13" s="260"/>
      <c r="C13" s="260"/>
      <c r="D13" s="260"/>
      <c r="E13" s="260"/>
      <c r="F13" s="261"/>
      <c r="G13" s="147"/>
      <c r="H13" s="147"/>
      <c r="I13" s="147"/>
      <c r="J13" s="147"/>
      <c r="K13" s="147"/>
      <c r="L13" s="147"/>
      <c r="M13" s="147"/>
      <c r="N13" s="147"/>
      <c r="O13" s="147"/>
    </row>
    <row r="14" spans="1:17" s="141" customFormat="1" ht="33" customHeight="1" thickBot="1" x14ac:dyDescent="0.35">
      <c r="A14" s="194" t="s">
        <v>22</v>
      </c>
      <c r="B14" s="262">
        <v>15.35</v>
      </c>
      <c r="C14" s="263"/>
      <c r="D14" s="175" t="s">
        <v>23</v>
      </c>
      <c r="E14" s="262">
        <v>6.05</v>
      </c>
      <c r="F14" s="264"/>
      <c r="G14" s="147"/>
      <c r="H14" s="147"/>
      <c r="I14" s="147"/>
      <c r="J14" s="147"/>
      <c r="K14" s="147"/>
      <c r="L14" s="147"/>
      <c r="M14" s="147"/>
      <c r="N14" s="147"/>
      <c r="O14" s="147"/>
    </row>
    <row r="15" spans="1:17" s="141" customFormat="1" ht="43.35" customHeight="1" thickBot="1" x14ac:dyDescent="0.35">
      <c r="A15" s="245" t="s">
        <v>24</v>
      </c>
      <c r="B15" s="246"/>
      <c r="C15" s="246"/>
      <c r="D15" s="246"/>
      <c r="E15" s="247">
        <f>SUM(A16:F28)</f>
        <v>646.25</v>
      </c>
      <c r="F15" s="248"/>
      <c r="G15" s="147"/>
      <c r="H15" s="147"/>
      <c r="I15" s="147"/>
      <c r="J15" s="147"/>
      <c r="K15" s="147"/>
      <c r="L15" s="147"/>
      <c r="M15" s="147"/>
      <c r="N15" s="147"/>
      <c r="O15" s="147"/>
    </row>
    <row r="16" spans="1:17" s="141" customFormat="1" ht="22.35" customHeight="1" thickBot="1" x14ac:dyDescent="0.35">
      <c r="A16" s="159">
        <v>646.25</v>
      </c>
      <c r="B16" s="160"/>
      <c r="C16" s="160"/>
      <c r="D16" s="161"/>
      <c r="E16" s="161"/>
      <c r="F16" s="162"/>
      <c r="G16" s="147"/>
      <c r="H16" s="147"/>
      <c r="I16" s="147"/>
      <c r="J16" s="147"/>
      <c r="K16" s="147"/>
      <c r="L16" s="147"/>
      <c r="M16" s="147"/>
      <c r="N16" s="147"/>
      <c r="O16" s="147"/>
    </row>
    <row r="17" spans="1:17" s="141" customFormat="1" ht="22.35" customHeight="1" x14ac:dyDescent="0.3">
      <c r="A17" s="163"/>
      <c r="B17" s="160"/>
      <c r="C17" s="157"/>
      <c r="D17" s="154"/>
      <c r="E17" s="155"/>
      <c r="F17" s="164"/>
      <c r="G17" s="147"/>
      <c r="H17" s="147"/>
      <c r="I17" s="147"/>
      <c r="J17" s="147"/>
      <c r="K17" s="147"/>
      <c r="L17" s="147"/>
      <c r="M17" s="147"/>
      <c r="N17" s="147"/>
      <c r="O17" s="147"/>
    </row>
    <row r="18" spans="1:17" s="141" customFormat="1" ht="22.35" customHeight="1" x14ac:dyDescent="0.3">
      <c r="A18" s="165"/>
      <c r="B18" s="157"/>
      <c r="C18" s="157"/>
      <c r="D18" s="154"/>
      <c r="E18" s="155"/>
      <c r="F18" s="164"/>
      <c r="G18" s="147"/>
      <c r="H18" s="147"/>
      <c r="I18" s="147"/>
      <c r="J18" s="147"/>
      <c r="K18" s="147"/>
      <c r="L18" s="147"/>
      <c r="M18" s="147"/>
      <c r="N18" s="147"/>
      <c r="O18" s="147"/>
    </row>
    <row r="19" spans="1:17" s="141" customFormat="1" ht="22.35" customHeight="1" x14ac:dyDescent="0.3">
      <c r="A19" s="165"/>
      <c r="B19" s="157"/>
      <c r="C19" s="157"/>
      <c r="D19" s="154"/>
      <c r="E19" s="155"/>
      <c r="F19" s="164"/>
      <c r="G19" s="147"/>
      <c r="H19" s="147"/>
      <c r="I19" s="147"/>
      <c r="J19" s="147"/>
      <c r="K19" s="147"/>
      <c r="L19" s="147"/>
      <c r="M19" s="147"/>
      <c r="N19" s="147"/>
      <c r="O19" s="147"/>
    </row>
    <row r="20" spans="1:17" s="141" customFormat="1" ht="22.35" customHeight="1" x14ac:dyDescent="0.3">
      <c r="A20" s="166"/>
      <c r="B20" s="157"/>
      <c r="C20" s="157"/>
      <c r="D20" s="154"/>
      <c r="E20" s="155"/>
      <c r="F20" s="164"/>
      <c r="G20" s="147"/>
      <c r="H20" s="147"/>
      <c r="I20" s="147"/>
      <c r="J20" s="147"/>
      <c r="K20" s="147"/>
      <c r="L20" s="147"/>
      <c r="M20" s="147"/>
      <c r="N20" s="147"/>
      <c r="O20" s="147"/>
      <c r="P20" s="148"/>
    </row>
    <row r="21" spans="1:17" s="141" customFormat="1" ht="22.35" customHeight="1" x14ac:dyDescent="0.3">
      <c r="A21" s="166"/>
      <c r="B21" s="157"/>
      <c r="C21" s="157"/>
      <c r="D21" s="154"/>
      <c r="E21" s="158"/>
      <c r="F21" s="164"/>
      <c r="G21" s="147"/>
      <c r="H21" s="147"/>
      <c r="I21" s="147"/>
      <c r="J21" s="147"/>
      <c r="K21" s="147"/>
      <c r="L21" s="147"/>
      <c r="M21" s="147"/>
      <c r="N21" s="147"/>
      <c r="O21" s="147"/>
      <c r="Q21" s="148"/>
    </row>
    <row r="22" spans="1:17" s="141" customFormat="1" ht="22.35" customHeight="1" x14ac:dyDescent="0.3">
      <c r="A22" s="166"/>
      <c r="B22" s="154"/>
      <c r="C22" s="157"/>
      <c r="D22" s="157"/>
      <c r="E22" s="158"/>
      <c r="F22" s="167"/>
      <c r="G22" s="147"/>
      <c r="H22" s="147"/>
      <c r="I22" s="147"/>
      <c r="J22" s="147"/>
      <c r="K22" s="147"/>
      <c r="L22" s="147"/>
      <c r="M22" s="147"/>
      <c r="N22" s="147"/>
      <c r="O22" s="147"/>
      <c r="Q22" s="148"/>
    </row>
    <row r="23" spans="1:17" s="141" customFormat="1" ht="22.35" customHeight="1" x14ac:dyDescent="0.3">
      <c r="A23" s="166"/>
      <c r="B23" s="154"/>
      <c r="C23" s="154"/>
      <c r="D23" s="157"/>
      <c r="E23" s="158"/>
      <c r="F23" s="167"/>
      <c r="G23" s="147"/>
      <c r="H23" s="147"/>
      <c r="I23" s="147"/>
      <c r="J23" s="147"/>
      <c r="K23" s="147"/>
      <c r="L23" s="147"/>
      <c r="M23" s="147"/>
      <c r="N23" s="147"/>
      <c r="O23" s="147"/>
      <c r="Q23" s="148"/>
    </row>
    <row r="24" spans="1:17" s="141" customFormat="1" ht="22.35" customHeight="1" x14ac:dyDescent="0.3">
      <c r="A24" s="166"/>
      <c r="B24" s="154"/>
      <c r="C24" s="154"/>
      <c r="D24" s="157"/>
      <c r="E24" s="158"/>
      <c r="F24" s="167"/>
      <c r="G24" s="147"/>
      <c r="H24" s="147"/>
      <c r="I24" s="147"/>
      <c r="J24" s="147"/>
      <c r="K24" s="147"/>
      <c r="L24" s="147"/>
      <c r="M24" s="147"/>
      <c r="N24" s="147"/>
      <c r="O24" s="147"/>
    </row>
    <row r="25" spans="1:17" s="141" customFormat="1" ht="22.35" customHeight="1" x14ac:dyDescent="0.3">
      <c r="A25" s="165"/>
      <c r="B25" s="154"/>
      <c r="C25" s="154"/>
      <c r="D25" s="157"/>
      <c r="E25" s="158"/>
      <c r="F25" s="167"/>
      <c r="G25" s="147"/>
      <c r="H25" s="147"/>
      <c r="I25" s="147"/>
      <c r="J25" s="147"/>
      <c r="K25" s="147"/>
      <c r="L25" s="147"/>
      <c r="M25" s="147">
        <v>2105</v>
      </c>
      <c r="N25" s="147"/>
      <c r="O25" s="147"/>
    </row>
    <row r="26" spans="1:17" s="141" customFormat="1" ht="22.35" customHeight="1" x14ac:dyDescent="0.3">
      <c r="A26" s="165"/>
      <c r="B26" s="154"/>
      <c r="C26" s="153"/>
      <c r="D26" s="157"/>
      <c r="E26" s="158"/>
      <c r="F26" s="167"/>
      <c r="G26" s="147"/>
      <c r="H26" s="147"/>
      <c r="I26" s="147"/>
      <c r="J26" s="147"/>
      <c r="K26" s="147"/>
      <c r="L26" s="147"/>
      <c r="M26" s="147"/>
      <c r="N26" s="147"/>
      <c r="O26" s="147"/>
    </row>
    <row r="27" spans="1:17" s="141" customFormat="1" ht="22.35" customHeight="1" x14ac:dyDescent="0.3">
      <c r="A27" s="165"/>
      <c r="B27" s="154"/>
      <c r="C27" s="153"/>
      <c r="D27" s="157"/>
      <c r="E27" s="158"/>
      <c r="F27" s="167"/>
      <c r="G27" s="147"/>
      <c r="H27" s="147"/>
      <c r="I27" s="147"/>
      <c r="J27" s="147"/>
      <c r="K27" s="147"/>
      <c r="L27" s="147"/>
      <c r="M27" s="147"/>
      <c r="N27" s="147"/>
      <c r="O27" s="147"/>
    </row>
    <row r="28" spans="1:17" s="141" customFormat="1" ht="22.35" customHeight="1" thickBot="1" x14ac:dyDescent="0.35">
      <c r="A28" s="168"/>
      <c r="B28" s="155"/>
      <c r="C28" s="170"/>
      <c r="D28" s="170"/>
      <c r="E28" s="169"/>
      <c r="F28" s="171"/>
      <c r="G28" s="147"/>
      <c r="H28" s="147"/>
      <c r="I28" s="147"/>
      <c r="J28" s="147"/>
      <c r="K28" s="147"/>
      <c r="L28" s="147"/>
      <c r="M28" s="147"/>
      <c r="N28" s="147"/>
      <c r="O28" s="147"/>
    </row>
    <row r="29" spans="1:17" s="141" customFormat="1" ht="47.1" customHeight="1" thickBot="1" x14ac:dyDescent="0.35">
      <c r="A29" s="255" t="s">
        <v>25</v>
      </c>
      <c r="B29" s="256"/>
      <c r="C29" s="256"/>
      <c r="D29" s="256"/>
      <c r="E29" s="265">
        <f>SUM(A30:F40)</f>
        <v>367.81</v>
      </c>
      <c r="F29" s="266"/>
      <c r="G29" s="147"/>
      <c r="H29" s="147"/>
      <c r="I29" s="147"/>
      <c r="J29" s="147"/>
      <c r="K29" s="147"/>
      <c r="L29" s="147"/>
      <c r="M29" s="147"/>
      <c r="N29" s="147"/>
      <c r="O29" s="147"/>
    </row>
    <row r="30" spans="1:17" s="141" customFormat="1" ht="22.35" customHeight="1" x14ac:dyDescent="0.3">
      <c r="A30" s="159">
        <v>367.81</v>
      </c>
      <c r="B30" s="160"/>
      <c r="C30" s="160"/>
      <c r="D30" s="160"/>
      <c r="E30" s="161"/>
      <c r="F30" s="162"/>
      <c r="G30" s="147"/>
      <c r="H30" s="147"/>
      <c r="I30" s="147"/>
      <c r="J30" s="147"/>
      <c r="K30" s="147"/>
      <c r="L30" s="147"/>
      <c r="M30" s="147"/>
      <c r="N30" s="147"/>
      <c r="O30" s="147"/>
    </row>
    <row r="31" spans="1:17" s="141" customFormat="1" ht="22.35" customHeight="1" x14ac:dyDescent="0.3">
      <c r="A31" s="165"/>
      <c r="B31" s="154"/>
      <c r="C31" s="154"/>
      <c r="D31" s="154"/>
      <c r="E31" s="156"/>
      <c r="F31" s="172"/>
      <c r="G31" s="147"/>
      <c r="H31" s="147"/>
      <c r="I31" s="147"/>
      <c r="J31" s="147"/>
      <c r="K31" s="147"/>
      <c r="L31" s="147"/>
      <c r="M31" s="147"/>
      <c r="N31" s="147"/>
      <c r="O31" s="147"/>
    </row>
    <row r="32" spans="1:17" s="141" customFormat="1" ht="22.35" customHeight="1" x14ac:dyDescent="0.3">
      <c r="A32" s="165"/>
      <c r="B32" s="154"/>
      <c r="C32" s="153"/>
      <c r="D32" s="154"/>
      <c r="E32" s="156"/>
      <c r="F32" s="172"/>
      <c r="G32" s="147"/>
      <c r="H32" s="147"/>
      <c r="I32" s="147"/>
      <c r="J32" s="147"/>
      <c r="K32" s="147"/>
      <c r="L32" s="147"/>
      <c r="M32" s="147"/>
      <c r="N32" s="147"/>
      <c r="O32" s="147"/>
    </row>
    <row r="33" spans="1:17" s="141" customFormat="1" ht="22.35" customHeight="1" x14ac:dyDescent="0.3">
      <c r="A33" s="165"/>
      <c r="B33" s="154"/>
      <c r="C33" s="154"/>
      <c r="D33" s="154"/>
      <c r="E33" s="156"/>
      <c r="F33" s="172"/>
      <c r="G33" s="147"/>
      <c r="H33" s="147"/>
      <c r="I33" s="147"/>
      <c r="J33" s="147"/>
      <c r="K33" s="147"/>
      <c r="L33" s="147"/>
      <c r="M33" s="147"/>
      <c r="N33" s="147"/>
      <c r="O33" s="147"/>
    </row>
    <row r="34" spans="1:17" s="141" customFormat="1" ht="22.35" customHeight="1" x14ac:dyDescent="0.3">
      <c r="A34" s="165"/>
      <c r="B34" s="154"/>
      <c r="C34" s="154"/>
      <c r="D34" s="154"/>
      <c r="E34" s="156"/>
      <c r="F34" s="172"/>
      <c r="G34" s="147"/>
      <c r="H34" s="147"/>
      <c r="I34" s="147"/>
      <c r="J34" s="147"/>
      <c r="K34" s="147"/>
      <c r="L34" s="147"/>
      <c r="M34" s="147"/>
      <c r="N34" s="147"/>
      <c r="O34" s="147"/>
    </row>
    <row r="35" spans="1:17" s="141" customFormat="1" ht="22.35" customHeight="1" x14ac:dyDescent="0.3">
      <c r="A35" s="165"/>
      <c r="B35" s="154"/>
      <c r="C35" s="154"/>
      <c r="D35" s="154"/>
      <c r="E35" s="156"/>
      <c r="F35" s="172"/>
      <c r="G35" s="147"/>
      <c r="H35" s="147"/>
      <c r="I35" s="147"/>
      <c r="J35" s="147"/>
      <c r="K35" s="147"/>
      <c r="L35" s="147"/>
      <c r="M35" s="147"/>
      <c r="N35" s="147"/>
      <c r="O35" s="147"/>
    </row>
    <row r="36" spans="1:17" s="141" customFormat="1" ht="22.35" customHeight="1" x14ac:dyDescent="0.3">
      <c r="A36" s="165"/>
      <c r="B36" s="154"/>
      <c r="C36" s="154"/>
      <c r="D36" s="154"/>
      <c r="E36" s="156"/>
      <c r="F36" s="172"/>
      <c r="G36" s="147"/>
      <c r="H36" s="147"/>
      <c r="I36" s="147"/>
      <c r="J36" s="147"/>
      <c r="K36" s="147"/>
      <c r="L36" s="147"/>
      <c r="M36" s="147"/>
      <c r="N36" s="147"/>
      <c r="O36" s="147"/>
    </row>
    <row r="37" spans="1:17" s="141" customFormat="1" ht="22.35" customHeight="1" x14ac:dyDescent="0.3">
      <c r="A37" s="165"/>
      <c r="B37" s="154"/>
      <c r="C37" s="154"/>
      <c r="D37" s="154"/>
      <c r="E37" s="156"/>
      <c r="F37" s="172"/>
      <c r="G37" s="145"/>
      <c r="H37" s="149"/>
      <c r="I37" s="149"/>
      <c r="J37" s="149"/>
      <c r="K37" s="149"/>
      <c r="L37" s="149"/>
    </row>
    <row r="38" spans="1:17" s="141" customFormat="1" ht="22.35" customHeight="1" x14ac:dyDescent="0.3">
      <c r="A38" s="165"/>
      <c r="B38" s="154"/>
      <c r="C38" s="154"/>
      <c r="D38" s="154"/>
      <c r="E38" s="156"/>
      <c r="F38" s="172"/>
      <c r="G38" s="145"/>
      <c r="H38" s="149"/>
      <c r="I38" s="149"/>
      <c r="J38" s="149"/>
      <c r="K38" s="149"/>
      <c r="L38" s="149"/>
    </row>
    <row r="39" spans="1:17" s="141" customFormat="1" ht="22.35" customHeight="1" x14ac:dyDescent="0.3">
      <c r="A39" s="165"/>
      <c r="B39" s="154"/>
      <c r="C39" s="154"/>
      <c r="D39" s="154"/>
      <c r="E39" s="156"/>
      <c r="F39" s="172"/>
      <c r="G39" s="145"/>
      <c r="H39" s="149"/>
      <c r="I39" s="149"/>
      <c r="J39" s="149"/>
      <c r="K39" s="149"/>
      <c r="L39" s="149"/>
    </row>
    <row r="40" spans="1:17" s="141" customFormat="1" ht="22.35" customHeight="1" thickBot="1" x14ac:dyDescent="0.35">
      <c r="A40" s="168"/>
      <c r="B40" s="170"/>
      <c r="C40" s="170"/>
      <c r="D40" s="170"/>
      <c r="E40" s="173"/>
      <c r="F40" s="174"/>
      <c r="G40" s="145"/>
      <c r="H40" s="149"/>
      <c r="I40" s="149"/>
      <c r="J40" s="149"/>
      <c r="K40" s="149"/>
      <c r="L40" s="149"/>
    </row>
    <row r="41" spans="1:17" s="141" customFormat="1" ht="41.1" customHeight="1" thickBot="1" x14ac:dyDescent="0.35">
      <c r="A41" s="186" t="s">
        <v>26</v>
      </c>
      <c r="B41" s="267">
        <v>2800</v>
      </c>
      <c r="C41" s="268"/>
      <c r="D41" s="186" t="s">
        <v>27</v>
      </c>
      <c r="E41" s="267">
        <f>+SUM(A42:F45)</f>
        <v>0</v>
      </c>
      <c r="F41" s="269"/>
      <c r="G41" s="145"/>
      <c r="H41" s="203"/>
      <c r="I41" s="149"/>
      <c r="J41" s="149"/>
      <c r="K41" s="149"/>
      <c r="L41" s="149"/>
    </row>
    <row r="42" spans="1:17" s="141" customFormat="1" ht="22.35" customHeight="1" x14ac:dyDescent="0.3">
      <c r="A42" s="178">
        <v>0</v>
      </c>
      <c r="B42" s="1"/>
      <c r="C42" s="1"/>
      <c r="D42" s="1"/>
      <c r="E42" s="2"/>
      <c r="F42" s="179"/>
      <c r="G42" s="145"/>
      <c r="H42" s="149"/>
      <c r="I42" s="149"/>
      <c r="J42" s="149"/>
      <c r="K42" s="149"/>
      <c r="L42" s="149"/>
    </row>
    <row r="43" spans="1:17" s="141" customFormat="1" ht="22.35" customHeight="1" x14ac:dyDescent="0.3">
      <c r="A43" s="180"/>
      <c r="B43" s="3"/>
      <c r="C43" s="3"/>
      <c r="D43" s="3"/>
      <c r="E43" s="2"/>
      <c r="F43" s="179"/>
      <c r="G43" s="145"/>
      <c r="H43" s="149"/>
      <c r="I43" s="149"/>
      <c r="J43" s="149"/>
      <c r="K43" s="149"/>
      <c r="L43" s="149"/>
    </row>
    <row r="44" spans="1:17" s="141" customFormat="1" ht="22.35" customHeight="1" x14ac:dyDescent="0.3">
      <c r="A44" s="181"/>
      <c r="B44" s="3"/>
      <c r="C44" s="3"/>
      <c r="D44" s="3"/>
      <c r="E44" s="2"/>
      <c r="F44" s="179"/>
      <c r="G44" s="145"/>
      <c r="H44" s="149"/>
      <c r="I44" s="149"/>
      <c r="J44" s="149"/>
      <c r="K44" s="149"/>
      <c r="L44" s="149"/>
    </row>
    <row r="45" spans="1:17" s="141" customFormat="1" ht="22.35" customHeight="1" thickBot="1" x14ac:dyDescent="0.35">
      <c r="A45" s="182"/>
      <c r="B45" s="183"/>
      <c r="C45" s="183"/>
      <c r="D45" s="183"/>
      <c r="E45" s="184"/>
      <c r="F45" s="185"/>
      <c r="G45" s="145"/>
      <c r="H45" s="149"/>
      <c r="I45" s="149"/>
      <c r="J45" s="149"/>
      <c r="K45" s="149"/>
      <c r="L45" s="149"/>
    </row>
    <row r="46" spans="1:17" s="141" customFormat="1" ht="42.6" customHeight="1" thickBot="1" x14ac:dyDescent="0.35">
      <c r="A46" s="270" t="s">
        <v>28</v>
      </c>
      <c r="B46" s="271"/>
      <c r="C46" s="271"/>
      <c r="D46" s="271"/>
      <c r="E46" s="267">
        <f>+IFERROR(AVERAGE(D51:E51),"-")</f>
        <v>4.2949999999999999</v>
      </c>
      <c r="F46" s="269"/>
      <c r="G46" s="145"/>
      <c r="H46" s="149"/>
      <c r="I46" s="288" t="s">
        <v>219</v>
      </c>
      <c r="J46" s="289"/>
      <c r="K46" s="289"/>
      <c r="L46" s="289"/>
      <c r="M46" s="289"/>
      <c r="N46" s="289"/>
      <c r="O46" s="289"/>
      <c r="P46" s="289"/>
      <c r="Q46" s="289"/>
    </row>
    <row r="47" spans="1:17" s="141" customFormat="1" ht="22.35" customHeight="1" x14ac:dyDescent="0.3">
      <c r="A47" s="280" t="s">
        <v>29</v>
      </c>
      <c r="B47" s="281"/>
      <c r="C47" s="188" t="s">
        <v>30</v>
      </c>
      <c r="D47" s="216" t="str">
        <f>'PRA-1'!L48</f>
        <v>B4</v>
      </c>
      <c r="E47" s="282" t="str">
        <f>'PRA-1'!P48</f>
        <v>B16</v>
      </c>
      <c r="F47" s="283"/>
      <c r="G47" s="145"/>
      <c r="H47" s="149"/>
      <c r="I47" s="290" t="s">
        <v>37</v>
      </c>
      <c r="J47" s="292">
        <v>1</v>
      </c>
      <c r="K47" s="293"/>
      <c r="L47" s="293"/>
      <c r="M47" s="294"/>
      <c r="N47" s="292" t="s">
        <v>211</v>
      </c>
      <c r="O47" s="293"/>
      <c r="P47" s="293"/>
      <c r="Q47" s="294"/>
    </row>
    <row r="48" spans="1:17" s="141" customFormat="1" ht="22.35" customHeight="1" thickBot="1" x14ac:dyDescent="0.35">
      <c r="A48" s="272" t="s">
        <v>31</v>
      </c>
      <c r="B48" s="273"/>
      <c r="C48" s="187" t="s">
        <v>32</v>
      </c>
      <c r="D48" s="213">
        <v>9566</v>
      </c>
      <c r="E48" s="274">
        <v>11540</v>
      </c>
      <c r="F48" s="275"/>
      <c r="G48" s="145"/>
      <c r="H48" s="149"/>
      <c r="I48" s="291"/>
      <c r="J48" s="206" t="s">
        <v>29</v>
      </c>
      <c r="K48" s="206" t="s">
        <v>212</v>
      </c>
      <c r="L48" s="206" t="s">
        <v>213</v>
      </c>
      <c r="M48" s="206" t="s">
        <v>214</v>
      </c>
      <c r="N48" s="206" t="s">
        <v>29</v>
      </c>
      <c r="O48" s="206" t="s">
        <v>212</v>
      </c>
      <c r="P48" s="206" t="s">
        <v>213</v>
      </c>
      <c r="Q48" s="206" t="s">
        <v>214</v>
      </c>
    </row>
    <row r="49" spans="1:20" s="141" customFormat="1" ht="22.35" customHeight="1" x14ac:dyDescent="0.3">
      <c r="A49" s="272" t="s">
        <v>33</v>
      </c>
      <c r="B49" s="273"/>
      <c r="C49" s="187" t="s">
        <v>32</v>
      </c>
      <c r="D49" s="213">
        <v>9220</v>
      </c>
      <c r="E49" s="274">
        <v>11148</v>
      </c>
      <c r="F49" s="275"/>
      <c r="G49" s="145"/>
      <c r="H49" s="149"/>
      <c r="I49" s="208" t="s">
        <v>4</v>
      </c>
      <c r="J49" s="209" t="s">
        <v>220</v>
      </c>
      <c r="K49" s="209">
        <v>1538</v>
      </c>
      <c r="L49" s="209">
        <v>7725</v>
      </c>
      <c r="M49" s="209">
        <v>7466</v>
      </c>
      <c r="N49" s="209" t="s">
        <v>221</v>
      </c>
      <c r="O49" s="210">
        <v>1543</v>
      </c>
      <c r="P49" s="210">
        <v>8695</v>
      </c>
      <c r="Q49" s="211">
        <v>8397</v>
      </c>
    </row>
    <row r="50" spans="1:20" s="141" customFormat="1" ht="22.35" customHeight="1" x14ac:dyDescent="0.3">
      <c r="A50" s="272" t="s">
        <v>34</v>
      </c>
      <c r="B50" s="273"/>
      <c r="C50" s="187" t="s">
        <v>32</v>
      </c>
      <c r="D50" s="217">
        <v>1546</v>
      </c>
      <c r="E50" s="274">
        <v>1538</v>
      </c>
      <c r="F50" s="275"/>
      <c r="G50" s="145"/>
      <c r="H50" s="149"/>
      <c r="I50" s="212" t="s">
        <v>4</v>
      </c>
      <c r="J50" s="213" t="s">
        <v>222</v>
      </c>
      <c r="K50" s="213">
        <v>1546</v>
      </c>
      <c r="L50" s="213">
        <v>9566</v>
      </c>
      <c r="M50" s="213">
        <v>9220</v>
      </c>
      <c r="N50" s="213" t="s">
        <v>223</v>
      </c>
      <c r="O50" s="214">
        <v>1538</v>
      </c>
      <c r="P50" s="214">
        <v>11540</v>
      </c>
      <c r="Q50" s="215">
        <v>11148</v>
      </c>
    </row>
    <row r="51" spans="1:20" s="141" customFormat="1" ht="22.35" customHeight="1" thickBot="1" x14ac:dyDescent="0.35">
      <c r="A51" s="276" t="s">
        <v>35</v>
      </c>
      <c r="B51" s="277"/>
      <c r="C51" s="195" t="s">
        <v>36</v>
      </c>
      <c r="D51" s="196">
        <f>+IFERROR(ROUND((D48-D49)/(D49-D50)*100,2),"-")</f>
        <v>4.51</v>
      </c>
      <c r="E51" s="278">
        <f>+IFERROR(ROUND((E48-E49)/(E49-E50)*100,2),"-")</f>
        <v>4.08</v>
      </c>
      <c r="F51" s="279"/>
      <c r="G51" s="145"/>
      <c r="H51" s="149"/>
      <c r="I51" s="219"/>
      <c r="J51" s="218"/>
      <c r="K51" s="218"/>
      <c r="L51" s="218"/>
      <c r="M51" s="218"/>
      <c r="N51" s="218"/>
      <c r="O51" s="218"/>
      <c r="P51" s="218"/>
      <c r="Q51" s="220"/>
      <c r="R51" s="214"/>
      <c r="S51" s="215"/>
    </row>
    <row r="52" spans="1:20" ht="17.399999999999999" x14ac:dyDescent="0.3">
      <c r="A52" s="150"/>
      <c r="B52" s="145"/>
      <c r="C52" s="145"/>
      <c r="D52" s="145"/>
      <c r="E52" s="145"/>
      <c r="F52" s="146"/>
      <c r="G52" s="145"/>
      <c r="H52" s="146"/>
      <c r="I52" s="146"/>
      <c r="J52" s="146"/>
      <c r="K52" s="146"/>
      <c r="L52" s="146"/>
      <c r="M52" s="141"/>
      <c r="N52" s="141"/>
      <c r="O52" s="141"/>
      <c r="P52" s="141"/>
      <c r="Q52" s="141"/>
    </row>
    <row r="53" spans="1:20" s="142" customFormat="1" ht="16.350000000000001" customHeight="1" x14ac:dyDescent="0.3"/>
    <row r="54" spans="1:20" s="143" customFormat="1" ht="43.35" customHeight="1" x14ac:dyDescent="0.3">
      <c r="A54" s="189" t="s">
        <v>37</v>
      </c>
      <c r="B54" s="189" t="s">
        <v>38</v>
      </c>
      <c r="C54" s="189" t="s">
        <v>39</v>
      </c>
      <c r="D54" s="189" t="s">
        <v>40</v>
      </c>
      <c r="E54" s="189" t="s">
        <v>5</v>
      </c>
      <c r="F54" s="189" t="s">
        <v>41</v>
      </c>
      <c r="G54" s="189" t="s">
        <v>42</v>
      </c>
      <c r="H54" s="189" t="s">
        <v>43</v>
      </c>
      <c r="I54" s="189" t="s">
        <v>46</v>
      </c>
      <c r="J54" s="189" t="s">
        <v>44</v>
      </c>
      <c r="K54" s="189" t="s">
        <v>45</v>
      </c>
      <c r="L54" s="189" t="s">
        <v>43</v>
      </c>
      <c r="M54" s="189" t="s">
        <v>46</v>
      </c>
      <c r="N54" s="189" t="s">
        <v>44</v>
      </c>
      <c r="O54" s="189" t="s">
        <v>45</v>
      </c>
      <c r="P54" s="189" t="s">
        <v>47</v>
      </c>
      <c r="Q54" s="189" t="s">
        <v>48</v>
      </c>
      <c r="R54" s="189" t="s">
        <v>49</v>
      </c>
      <c r="S54" s="189" t="s">
        <v>50</v>
      </c>
      <c r="T54" s="189" t="s">
        <v>51</v>
      </c>
    </row>
    <row r="55" spans="1:20" s="144" customFormat="1" ht="44.85" customHeight="1" x14ac:dyDescent="0.3">
      <c r="A55" s="139" t="str">
        <f>+B3</f>
        <v>A</v>
      </c>
      <c r="B55" s="139">
        <f>+B4</f>
        <v>1</v>
      </c>
      <c r="C55" s="151">
        <f>+B5</f>
        <v>0.6</v>
      </c>
      <c r="D55" s="151">
        <v>23</v>
      </c>
      <c r="E55" s="139" t="str">
        <f>+E3</f>
        <v>Rodillo liso</v>
      </c>
      <c r="F55" s="139" t="str">
        <f>+E5</f>
        <v>Grava mal gradada</v>
      </c>
      <c r="G55" s="139">
        <f>+E4</f>
        <v>5</v>
      </c>
      <c r="H55" s="139" t="str">
        <f>+D47</f>
        <v>B4</v>
      </c>
      <c r="I55" s="139">
        <f>+D50</f>
        <v>1546</v>
      </c>
      <c r="J55" s="139">
        <f>+D48</f>
        <v>9566</v>
      </c>
      <c r="K55" s="139">
        <f>+D49</f>
        <v>9220</v>
      </c>
      <c r="L55" s="139" t="str">
        <f>+E47</f>
        <v>B16</v>
      </c>
      <c r="M55" s="139">
        <f>+E50</f>
        <v>1538</v>
      </c>
      <c r="N55" s="139">
        <f>+E48</f>
        <v>11540</v>
      </c>
      <c r="O55" s="151">
        <f>+E49</f>
        <v>11148</v>
      </c>
      <c r="P55" s="192">
        <f>E9*1000</f>
        <v>2134</v>
      </c>
      <c r="Q55" s="151">
        <f>+B14</f>
        <v>15.35</v>
      </c>
      <c r="R55" s="151">
        <f>+E14</f>
        <v>6.05</v>
      </c>
      <c r="S55" s="151">
        <f>+E15</f>
        <v>646.25</v>
      </c>
      <c r="T55" s="151">
        <f>+E29</f>
        <v>367.81</v>
      </c>
    </row>
    <row r="56" spans="1:20" x14ac:dyDescent="0.25">
      <c r="P56" s="142"/>
      <c r="Q56" s="177"/>
    </row>
    <row r="57" spans="1:20" x14ac:dyDescent="0.25">
      <c r="P57" s="142"/>
      <c r="Q57" s="142"/>
    </row>
  </sheetData>
  <sheetProtection formatCells="0" formatColumns="0" deleteColumns="0"/>
  <protectedRanges>
    <protectedRange sqref="M46:M49" name="Rango1_2"/>
    <protectedRange sqref="I46:L46" name="Rango1_3"/>
  </protectedRanges>
  <mergeCells count="50">
    <mergeCell ref="I46:Q46"/>
    <mergeCell ref="I47:I48"/>
    <mergeCell ref="J47:M47"/>
    <mergeCell ref="N47:Q47"/>
    <mergeCell ref="A50:B50"/>
    <mergeCell ref="E50:F50"/>
    <mergeCell ref="A51:B51"/>
    <mergeCell ref="E51:F51"/>
    <mergeCell ref="A47:B47"/>
    <mergeCell ref="E47:F47"/>
    <mergeCell ref="A48:B48"/>
    <mergeCell ref="E48:F48"/>
    <mergeCell ref="A49:B49"/>
    <mergeCell ref="E49:F49"/>
    <mergeCell ref="A29:D29"/>
    <mergeCell ref="E29:F29"/>
    <mergeCell ref="B41:C41"/>
    <mergeCell ref="E41:F41"/>
    <mergeCell ref="A46:D46"/>
    <mergeCell ref="E46:F46"/>
    <mergeCell ref="A15:D15"/>
    <mergeCell ref="E15:F15"/>
    <mergeCell ref="A9:D9"/>
    <mergeCell ref="E9:F9"/>
    <mergeCell ref="A10:D10"/>
    <mergeCell ref="E10:F10"/>
    <mergeCell ref="A11:D11"/>
    <mergeCell ref="E11:F11"/>
    <mergeCell ref="A12:D12"/>
    <mergeCell ref="E12:F12"/>
    <mergeCell ref="A13:F13"/>
    <mergeCell ref="B14:C14"/>
    <mergeCell ref="E14:F14"/>
    <mergeCell ref="A7:B7"/>
    <mergeCell ref="C7:D7"/>
    <mergeCell ref="E7:F7"/>
    <mergeCell ref="A8:B8"/>
    <mergeCell ref="C8:D8"/>
    <mergeCell ref="E8:F8"/>
    <mergeCell ref="B6:C6"/>
    <mergeCell ref="E3:F3"/>
    <mergeCell ref="A1:F1"/>
    <mergeCell ref="B2:C2"/>
    <mergeCell ref="E2:F2"/>
    <mergeCell ref="B5:C5"/>
    <mergeCell ref="B3:C3"/>
    <mergeCell ref="B4:C4"/>
    <mergeCell ref="E4:F4"/>
    <mergeCell ref="D5:D6"/>
    <mergeCell ref="E5:F6"/>
  </mergeCells>
  <pageMargins left="0.70866141732283472" right="0.70866141732283472" top="0.74803149606299213" bottom="0.74803149606299213" header="0.31496062992125984" footer="0.31496062992125984"/>
  <pageSetup paperSize="9" scale="49" fitToWidth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B5E93-80B3-4325-B710-E590A0FBD58B}">
  <sheetPr codeName="Hoja6">
    <tabColor rgb="FFFFC000"/>
    <pageSetUpPr fitToPage="1"/>
  </sheetPr>
  <dimension ref="A1:T57"/>
  <sheetViews>
    <sheetView topLeftCell="A9" zoomScale="54" zoomScaleNormal="54" workbookViewId="0">
      <selection activeCell="E29" sqref="E29:F29"/>
    </sheetView>
  </sheetViews>
  <sheetFormatPr baseColWidth="10" defaultColWidth="11.5546875" defaultRowHeight="15" x14ac:dyDescent="0.25"/>
  <cols>
    <col min="1" max="1" width="32.109375" style="202" customWidth="1"/>
    <col min="2" max="2" width="15" style="202" customWidth="1"/>
    <col min="3" max="3" width="15.5546875" style="202" customWidth="1"/>
    <col min="4" max="4" width="31.5546875" style="202" customWidth="1"/>
    <col min="5" max="5" width="15" style="202" customWidth="1"/>
    <col min="6" max="6" width="17.44140625" style="197" customWidth="1"/>
    <col min="7" max="7" width="8.44140625" style="202" customWidth="1"/>
    <col min="8" max="20" width="8.44140625" style="197" customWidth="1"/>
    <col min="21" max="21" width="11.5546875" style="197" bestFit="1"/>
    <col min="22" max="16384" width="11.5546875" style="197"/>
  </cols>
  <sheetData>
    <row r="1" spans="1:17" ht="31.35" customHeight="1" thickBot="1" x14ac:dyDescent="0.3">
      <c r="A1" s="225" t="s">
        <v>0</v>
      </c>
      <c r="B1" s="226"/>
      <c r="C1" s="226"/>
      <c r="D1" s="226"/>
      <c r="E1" s="226"/>
      <c r="F1" s="227"/>
      <c r="G1" s="145"/>
      <c r="H1" s="146"/>
      <c r="I1" s="146"/>
      <c r="J1" s="146"/>
      <c r="K1" s="146"/>
      <c r="L1" s="146"/>
      <c r="M1" s="140"/>
      <c r="N1" s="140"/>
      <c r="O1" s="140"/>
      <c r="P1" s="140"/>
      <c r="Q1" s="140"/>
    </row>
    <row r="2" spans="1:17" ht="25.35" customHeight="1" x14ac:dyDescent="0.3">
      <c r="A2" s="193" t="s">
        <v>1</v>
      </c>
      <c r="B2" s="228">
        <v>3</v>
      </c>
      <c r="C2" s="229"/>
      <c r="D2" s="152" t="s">
        <v>2</v>
      </c>
      <c r="E2" s="230">
        <v>24.5</v>
      </c>
      <c r="F2" s="231"/>
      <c r="G2" s="147"/>
      <c r="H2" s="147"/>
      <c r="I2" s="147"/>
      <c r="J2" s="147"/>
      <c r="K2" s="147"/>
      <c r="L2" s="147"/>
      <c r="M2" s="147"/>
      <c r="N2" s="147"/>
      <c r="O2" s="147"/>
      <c r="P2" s="141"/>
      <c r="Q2" s="141"/>
    </row>
    <row r="3" spans="1:17" ht="25.35" customHeight="1" x14ac:dyDescent="0.3">
      <c r="A3" s="193" t="s">
        <v>3</v>
      </c>
      <c r="B3" s="229" t="s">
        <v>4</v>
      </c>
      <c r="C3" s="234"/>
      <c r="D3" s="152" t="s">
        <v>5</v>
      </c>
      <c r="E3" s="228" t="s">
        <v>6</v>
      </c>
      <c r="F3" s="236"/>
      <c r="G3" s="147"/>
      <c r="H3" s="147"/>
      <c r="I3" s="147"/>
      <c r="J3" s="147"/>
      <c r="K3" s="147"/>
      <c r="L3" s="147"/>
      <c r="M3" s="147"/>
      <c r="N3" s="147"/>
      <c r="O3" s="147"/>
      <c r="P3" s="141"/>
      <c r="Q3" s="141"/>
    </row>
    <row r="4" spans="1:17" ht="25.35" customHeight="1" x14ac:dyDescent="0.3">
      <c r="A4" s="193" t="s">
        <v>7</v>
      </c>
      <c r="B4" s="229">
        <v>1</v>
      </c>
      <c r="C4" s="234"/>
      <c r="D4" s="191" t="s">
        <v>8</v>
      </c>
      <c r="E4" s="228">
        <v>6</v>
      </c>
      <c r="F4" s="236"/>
      <c r="G4" s="147"/>
      <c r="H4" s="147"/>
      <c r="I4" s="147"/>
      <c r="J4" s="147"/>
      <c r="K4" s="147"/>
      <c r="L4" s="147"/>
      <c r="M4" s="147"/>
      <c r="N4" s="147"/>
      <c r="O4" s="147"/>
      <c r="P4" s="141"/>
      <c r="Q4" s="141"/>
    </row>
    <row r="5" spans="1:17" s="198" customFormat="1" ht="25.35" customHeight="1" x14ac:dyDescent="0.3">
      <c r="A5" s="193" t="s">
        <v>9</v>
      </c>
      <c r="B5" s="232">
        <v>0.55000000000000004</v>
      </c>
      <c r="C5" s="233"/>
      <c r="D5" s="237" t="s">
        <v>10</v>
      </c>
      <c r="E5" s="228" t="s">
        <v>11</v>
      </c>
      <c r="F5" s="236"/>
      <c r="G5" s="147"/>
      <c r="H5" s="147"/>
      <c r="I5" s="147"/>
      <c r="J5" s="147"/>
      <c r="K5" s="147"/>
      <c r="L5" s="147"/>
      <c r="M5" s="147"/>
      <c r="N5" s="147"/>
      <c r="O5" s="147"/>
      <c r="P5" s="141"/>
      <c r="Q5" s="141"/>
    </row>
    <row r="6" spans="1:17" s="198" customFormat="1" ht="25.35" customHeight="1" x14ac:dyDescent="0.3">
      <c r="A6" s="193" t="s">
        <v>12</v>
      </c>
      <c r="B6" s="221">
        <f>+IF($E$2="",1,VLOOKUP($E$2,LISTAS!A4:B163,2,FALSE))</f>
        <v>0.99717</v>
      </c>
      <c r="C6" s="284"/>
      <c r="D6" s="237"/>
      <c r="E6" s="228"/>
      <c r="F6" s="236"/>
      <c r="G6" s="147"/>
      <c r="H6" s="147"/>
      <c r="I6" s="147"/>
      <c r="J6" s="147"/>
      <c r="K6" s="147"/>
      <c r="L6" s="147"/>
      <c r="M6" s="147"/>
      <c r="N6" s="147"/>
      <c r="O6" s="147"/>
      <c r="P6" s="141"/>
      <c r="Q6" s="141"/>
    </row>
    <row r="7" spans="1:17" s="198" customFormat="1" ht="45" customHeight="1" x14ac:dyDescent="0.3">
      <c r="A7" s="238" t="s">
        <v>13</v>
      </c>
      <c r="B7" s="237"/>
      <c r="C7" s="237" t="s">
        <v>14</v>
      </c>
      <c r="D7" s="237"/>
      <c r="E7" s="237" t="s">
        <v>15</v>
      </c>
      <c r="F7" s="285"/>
      <c r="G7" s="147"/>
      <c r="H7" s="147"/>
      <c r="I7" s="147"/>
      <c r="J7" s="147"/>
      <c r="K7" s="147"/>
      <c r="L7" s="147"/>
      <c r="M7" s="147"/>
      <c r="N7" s="147"/>
      <c r="O7" s="147"/>
      <c r="P7" s="141"/>
      <c r="Q7" s="141"/>
    </row>
    <row r="8" spans="1:17" s="198" customFormat="1" ht="45" customHeight="1" x14ac:dyDescent="0.3">
      <c r="A8" s="241">
        <f>+(E29*1000)/B6</f>
        <v>273574.21502853074</v>
      </c>
      <c r="B8" s="242"/>
      <c r="C8" s="243">
        <f>(B14-E14)*1000/B6</f>
        <v>12635.759198531845</v>
      </c>
      <c r="D8" s="243"/>
      <c r="E8" s="242">
        <f>+A8-C8</f>
        <v>260938.45582999889</v>
      </c>
      <c r="F8" s="244"/>
      <c r="G8" s="147"/>
      <c r="H8" s="147"/>
      <c r="I8" s="147"/>
      <c r="J8" s="147"/>
      <c r="K8" s="147"/>
      <c r="L8" s="147"/>
      <c r="M8" s="147"/>
      <c r="N8" s="147"/>
      <c r="O8" s="147"/>
      <c r="P8" s="141"/>
      <c r="Q8" s="141"/>
    </row>
    <row r="9" spans="1:17" s="198" customFormat="1" ht="22.35" customHeight="1" x14ac:dyDescent="0.3">
      <c r="A9" s="249" t="s">
        <v>16</v>
      </c>
      <c r="B9" s="250"/>
      <c r="C9" s="250"/>
      <c r="D9" s="250"/>
      <c r="E9" s="295" t="s">
        <v>17</v>
      </c>
      <c r="F9" s="296"/>
      <c r="G9" s="147"/>
      <c r="H9" s="147"/>
      <c r="I9" s="147"/>
      <c r="J9" s="147"/>
      <c r="K9" s="147"/>
      <c r="L9" s="147"/>
      <c r="M9" s="147"/>
      <c r="N9" s="147"/>
      <c r="O9" s="147"/>
      <c r="P9" s="141"/>
      <c r="Q9" s="141"/>
    </row>
    <row r="10" spans="1:17" s="198" customFormat="1" ht="22.35" customHeight="1" x14ac:dyDescent="0.3">
      <c r="A10" s="249" t="s">
        <v>18</v>
      </c>
      <c r="B10" s="250"/>
      <c r="C10" s="250"/>
      <c r="D10" s="250"/>
      <c r="E10" s="253">
        <f>E15/E8*1000</f>
        <v>2.3689494062259797</v>
      </c>
      <c r="F10" s="254"/>
      <c r="G10" s="147"/>
      <c r="H10" s="147"/>
      <c r="I10" s="147"/>
      <c r="J10" s="147"/>
      <c r="K10" s="147"/>
      <c r="L10" s="147"/>
      <c r="M10" s="147"/>
      <c r="N10" s="147"/>
      <c r="O10" s="147"/>
      <c r="P10" s="141"/>
      <c r="Q10" s="141"/>
    </row>
    <row r="11" spans="1:17" s="198" customFormat="1" ht="22.35" customHeight="1" x14ac:dyDescent="0.3">
      <c r="A11" s="249" t="s">
        <v>19</v>
      </c>
      <c r="B11" s="250"/>
      <c r="C11" s="250"/>
      <c r="D11" s="250"/>
      <c r="E11" s="253" t="e">
        <f>(E15/(E46+100)*100)/E8*1000</f>
        <v>#VALUE!</v>
      </c>
      <c r="F11" s="254"/>
      <c r="G11" s="147"/>
      <c r="H11" s="147"/>
      <c r="I11" s="147"/>
      <c r="J11" s="147"/>
      <c r="K11" s="147"/>
      <c r="L11" s="147"/>
      <c r="M11" s="147"/>
      <c r="N11" s="147"/>
      <c r="O11" s="147"/>
      <c r="P11" s="141"/>
      <c r="Q11" s="141"/>
    </row>
    <row r="12" spans="1:17" s="198" customFormat="1" ht="22.35" customHeight="1" thickBot="1" x14ac:dyDescent="0.35">
      <c r="A12" s="255" t="s">
        <v>20</v>
      </c>
      <c r="B12" s="256"/>
      <c r="C12" s="256"/>
      <c r="D12" s="256"/>
      <c r="E12" s="257" t="e">
        <f>+ROUND(E11/E9*100,2)</f>
        <v>#VALUE!</v>
      </c>
      <c r="F12" s="258"/>
      <c r="G12" s="147"/>
      <c r="H12" s="147"/>
      <c r="I12" s="147"/>
      <c r="J12" s="147"/>
      <c r="K12" s="147"/>
      <c r="L12" s="147"/>
      <c r="M12" s="147"/>
      <c r="N12" s="147"/>
      <c r="O12" s="147"/>
      <c r="P12" s="141"/>
      <c r="Q12" s="141"/>
    </row>
    <row r="13" spans="1:17" s="198" customFormat="1" ht="54" customHeight="1" thickBot="1" x14ac:dyDescent="0.35">
      <c r="A13" s="259" t="s">
        <v>21</v>
      </c>
      <c r="B13" s="260"/>
      <c r="C13" s="260"/>
      <c r="D13" s="260"/>
      <c r="E13" s="260"/>
      <c r="F13" s="261"/>
      <c r="G13" s="147"/>
      <c r="H13" s="147"/>
      <c r="I13" s="147"/>
      <c r="J13" s="147"/>
      <c r="K13" s="147"/>
      <c r="L13" s="147"/>
      <c r="M13" s="147"/>
      <c r="N13" s="147"/>
      <c r="O13" s="147"/>
      <c r="P13" s="141"/>
      <c r="Q13" s="141"/>
    </row>
    <row r="14" spans="1:17" s="198" customFormat="1" ht="33" customHeight="1" thickBot="1" x14ac:dyDescent="0.35">
      <c r="A14" s="194" t="s">
        <v>22</v>
      </c>
      <c r="B14" s="262">
        <v>15.75</v>
      </c>
      <c r="C14" s="263"/>
      <c r="D14" s="175" t="s">
        <v>23</v>
      </c>
      <c r="E14" s="262">
        <v>3.15</v>
      </c>
      <c r="F14" s="264"/>
      <c r="G14" s="147"/>
      <c r="H14" s="147"/>
      <c r="I14" s="147"/>
      <c r="J14" s="147"/>
      <c r="K14" s="147"/>
      <c r="L14" s="147"/>
      <c r="M14" s="147"/>
      <c r="N14" s="147"/>
      <c r="O14" s="147"/>
      <c r="P14" s="141"/>
      <c r="Q14" s="141"/>
    </row>
    <row r="15" spans="1:17" s="198" customFormat="1" ht="43.35" customHeight="1" thickBot="1" x14ac:dyDescent="0.35">
      <c r="A15" s="245" t="s">
        <v>24</v>
      </c>
      <c r="B15" s="246"/>
      <c r="C15" s="246"/>
      <c r="D15" s="246"/>
      <c r="E15" s="247">
        <f>+IF(SUM(A42:F45)&gt;0,SUM(A16:F28)-E41,SUM(A16:F28))</f>
        <v>618.15</v>
      </c>
      <c r="F15" s="248"/>
      <c r="G15" s="147"/>
      <c r="H15" s="147"/>
      <c r="I15" s="147"/>
      <c r="J15" s="147"/>
      <c r="K15" s="147"/>
      <c r="L15" s="147"/>
      <c r="M15" s="147"/>
      <c r="N15" s="147"/>
      <c r="O15" s="147"/>
      <c r="P15" s="141"/>
      <c r="Q15" s="141"/>
    </row>
    <row r="16" spans="1:17" s="198" customFormat="1" ht="22.35" customHeight="1" x14ac:dyDescent="0.3">
      <c r="A16" s="159">
        <v>618.15</v>
      </c>
      <c r="B16" s="160"/>
      <c r="C16" s="160"/>
      <c r="D16" s="161"/>
      <c r="E16" s="161"/>
      <c r="F16" s="162"/>
      <c r="G16" s="147"/>
      <c r="H16" s="147"/>
      <c r="I16" s="147"/>
      <c r="J16" s="147"/>
      <c r="K16" s="147"/>
      <c r="L16" s="147"/>
      <c r="M16" s="147"/>
      <c r="N16" s="147"/>
      <c r="O16" s="147"/>
      <c r="P16" s="141"/>
      <c r="Q16" s="141"/>
    </row>
    <row r="17" spans="1:17" s="198" customFormat="1" ht="22.35" customHeight="1" x14ac:dyDescent="0.3">
      <c r="A17" s="163"/>
      <c r="B17" s="157"/>
      <c r="C17" s="157"/>
      <c r="D17" s="154"/>
      <c r="E17" s="155"/>
      <c r="F17" s="164"/>
      <c r="G17" s="147"/>
      <c r="H17" s="147"/>
      <c r="I17" s="147"/>
      <c r="J17" s="147"/>
      <c r="K17" s="147"/>
      <c r="L17" s="147"/>
      <c r="M17" s="147"/>
      <c r="N17" s="147"/>
      <c r="O17" s="147"/>
      <c r="P17" s="141"/>
      <c r="Q17" s="141"/>
    </row>
    <row r="18" spans="1:17" s="198" customFormat="1" ht="22.35" customHeight="1" x14ac:dyDescent="0.3">
      <c r="A18" s="165"/>
      <c r="B18" s="157"/>
      <c r="C18" s="157"/>
      <c r="D18" s="154"/>
      <c r="E18" s="155"/>
      <c r="F18" s="164"/>
      <c r="G18" s="147"/>
      <c r="H18" s="147"/>
      <c r="I18" s="147"/>
      <c r="J18" s="147"/>
      <c r="K18" s="147"/>
      <c r="L18" s="147"/>
      <c r="M18" s="147"/>
      <c r="N18" s="147"/>
      <c r="O18" s="147"/>
      <c r="P18" s="141"/>
      <c r="Q18" s="141"/>
    </row>
    <row r="19" spans="1:17" s="198" customFormat="1" ht="22.35" customHeight="1" x14ac:dyDescent="0.3">
      <c r="A19" s="165"/>
      <c r="B19" s="157"/>
      <c r="C19" s="157"/>
      <c r="D19" s="154"/>
      <c r="E19" s="155"/>
      <c r="F19" s="164"/>
      <c r="G19" s="147"/>
      <c r="H19" s="147"/>
      <c r="I19" s="147"/>
      <c r="J19" s="147"/>
      <c r="K19" s="147"/>
      <c r="L19" s="147"/>
      <c r="M19" s="147"/>
      <c r="N19" s="147"/>
      <c r="O19" s="147"/>
      <c r="P19" s="141"/>
      <c r="Q19" s="141"/>
    </row>
    <row r="20" spans="1:17" s="198" customFormat="1" ht="22.35" customHeight="1" x14ac:dyDescent="0.3">
      <c r="A20" s="166"/>
      <c r="B20" s="157"/>
      <c r="C20" s="157"/>
      <c r="D20" s="154"/>
      <c r="E20" s="155"/>
      <c r="F20" s="164"/>
      <c r="G20" s="147"/>
      <c r="H20" s="147"/>
      <c r="I20" s="147"/>
      <c r="J20" s="147"/>
      <c r="K20" s="147"/>
      <c r="L20" s="147"/>
      <c r="M20" s="147"/>
      <c r="N20" s="147"/>
      <c r="O20" s="147"/>
      <c r="P20" s="148"/>
      <c r="Q20" s="141"/>
    </row>
    <row r="21" spans="1:17" s="198" customFormat="1" ht="22.35" customHeight="1" x14ac:dyDescent="0.3">
      <c r="A21" s="166"/>
      <c r="B21" s="154"/>
      <c r="C21" s="157"/>
      <c r="D21" s="154"/>
      <c r="E21" s="158"/>
      <c r="F21" s="164"/>
      <c r="G21" s="147"/>
      <c r="H21" s="147"/>
      <c r="I21" s="147"/>
      <c r="J21" s="147"/>
      <c r="K21" s="147"/>
      <c r="L21" s="147"/>
      <c r="M21" s="147"/>
      <c r="N21" s="147"/>
      <c r="O21" s="147"/>
      <c r="P21" s="141"/>
      <c r="Q21" s="148"/>
    </row>
    <row r="22" spans="1:17" s="198" customFormat="1" ht="22.35" customHeight="1" x14ac:dyDescent="0.3">
      <c r="A22" s="166"/>
      <c r="B22" s="154"/>
      <c r="C22" s="157"/>
      <c r="D22" s="157"/>
      <c r="E22" s="158"/>
      <c r="F22" s="167"/>
      <c r="G22" s="147"/>
      <c r="H22" s="147"/>
      <c r="I22" s="147"/>
      <c r="J22" s="147"/>
      <c r="K22" s="147"/>
      <c r="L22" s="147"/>
      <c r="M22" s="147"/>
      <c r="N22" s="147"/>
      <c r="O22" s="147"/>
      <c r="P22" s="141"/>
      <c r="Q22" s="148"/>
    </row>
    <row r="23" spans="1:17" s="198" customFormat="1" ht="22.35" customHeight="1" x14ac:dyDescent="0.3">
      <c r="A23" s="166"/>
      <c r="B23" s="154"/>
      <c r="C23" s="154"/>
      <c r="D23" s="157"/>
      <c r="E23" s="158"/>
      <c r="F23" s="167"/>
      <c r="G23" s="147"/>
      <c r="H23" s="147"/>
      <c r="I23" s="147"/>
      <c r="J23" s="147"/>
      <c r="K23" s="147"/>
      <c r="L23" s="147"/>
      <c r="M23" s="147"/>
      <c r="N23" s="147"/>
      <c r="O23" s="147"/>
      <c r="P23" s="141"/>
      <c r="Q23" s="148"/>
    </row>
    <row r="24" spans="1:17" s="198" customFormat="1" ht="22.35" customHeight="1" x14ac:dyDescent="0.3">
      <c r="A24" s="166"/>
      <c r="B24" s="154"/>
      <c r="C24" s="154"/>
      <c r="D24" s="157"/>
      <c r="E24" s="158"/>
      <c r="F24" s="167"/>
      <c r="G24" s="147"/>
      <c r="H24" s="147"/>
      <c r="I24" s="147"/>
      <c r="J24" s="147"/>
      <c r="K24" s="147"/>
      <c r="L24" s="147"/>
      <c r="M24" s="147"/>
      <c r="N24" s="147"/>
      <c r="O24" s="147"/>
      <c r="P24" s="141"/>
      <c r="Q24" s="141"/>
    </row>
    <row r="25" spans="1:17" s="198" customFormat="1" ht="22.35" customHeight="1" x14ac:dyDescent="0.3">
      <c r="A25" s="165"/>
      <c r="B25" s="154"/>
      <c r="C25" s="154"/>
      <c r="D25" s="157"/>
      <c r="E25" s="158"/>
      <c r="F25" s="167"/>
      <c r="G25" s="147"/>
      <c r="H25" s="147"/>
      <c r="I25" s="147"/>
      <c r="J25" s="147"/>
      <c r="K25" s="147"/>
      <c r="L25" s="147"/>
      <c r="M25" s="147"/>
      <c r="N25" s="147"/>
      <c r="O25" s="147"/>
      <c r="P25" s="141"/>
      <c r="Q25" s="141"/>
    </row>
    <row r="26" spans="1:17" s="198" customFormat="1" ht="22.35" customHeight="1" x14ac:dyDescent="0.3">
      <c r="A26" s="165"/>
      <c r="B26" s="154"/>
      <c r="C26" s="153"/>
      <c r="D26" s="157"/>
      <c r="E26" s="158"/>
      <c r="F26" s="167"/>
      <c r="G26" s="147"/>
      <c r="H26" s="147"/>
      <c r="I26" s="147"/>
      <c r="J26" s="147"/>
      <c r="K26" s="147"/>
      <c r="L26" s="147"/>
      <c r="M26" s="147"/>
      <c r="N26" s="147"/>
      <c r="O26" s="147"/>
      <c r="P26" s="141"/>
      <c r="Q26" s="141"/>
    </row>
    <row r="27" spans="1:17" s="198" customFormat="1" ht="22.35" customHeight="1" x14ac:dyDescent="0.3">
      <c r="A27" s="165"/>
      <c r="B27" s="155"/>
      <c r="C27" s="153"/>
      <c r="D27" s="157"/>
      <c r="E27" s="158"/>
      <c r="F27" s="167"/>
      <c r="G27" s="147"/>
      <c r="H27" s="147"/>
      <c r="I27" s="147"/>
      <c r="J27" s="147"/>
      <c r="K27" s="147"/>
      <c r="L27" s="147"/>
      <c r="M27" s="147"/>
      <c r="N27" s="147"/>
      <c r="O27" s="147"/>
      <c r="P27" s="141"/>
      <c r="Q27" s="141"/>
    </row>
    <row r="28" spans="1:17" s="198" customFormat="1" ht="22.35" customHeight="1" thickBot="1" x14ac:dyDescent="0.35">
      <c r="A28" s="168"/>
      <c r="B28" s="169"/>
      <c r="C28" s="170"/>
      <c r="D28" s="170"/>
      <c r="E28" s="169"/>
      <c r="F28" s="171"/>
      <c r="G28" s="147"/>
      <c r="H28" s="147"/>
      <c r="I28" s="147"/>
      <c r="J28" s="147"/>
      <c r="K28" s="147"/>
      <c r="L28" s="147"/>
      <c r="M28" s="147"/>
      <c r="N28" s="147"/>
      <c r="O28" s="147"/>
      <c r="P28" s="141"/>
      <c r="Q28" s="141"/>
    </row>
    <row r="29" spans="1:17" s="198" customFormat="1" ht="47.1" customHeight="1" thickBot="1" x14ac:dyDescent="0.35">
      <c r="A29" s="255" t="s">
        <v>25</v>
      </c>
      <c r="B29" s="256"/>
      <c r="C29" s="256"/>
      <c r="D29" s="256"/>
      <c r="E29" s="265">
        <f>+IFERROR(IF(SUM(A42:F45)&gt;0,SUM(A30:F40)-(E41/B41)*1000,SUM(A30:F40)),"-")</f>
        <v>272.8</v>
      </c>
      <c r="F29" s="266"/>
      <c r="G29" s="147"/>
      <c r="H29" s="147"/>
      <c r="I29" s="147"/>
      <c r="J29" s="147"/>
      <c r="K29" s="147"/>
      <c r="L29" s="147"/>
      <c r="M29" s="147"/>
      <c r="N29" s="147"/>
      <c r="O29" s="147"/>
      <c r="P29" s="141"/>
      <c r="Q29" s="141"/>
    </row>
    <row r="30" spans="1:17" s="198" customFormat="1" ht="22.35" customHeight="1" x14ac:dyDescent="0.3">
      <c r="A30" s="159">
        <v>272.8</v>
      </c>
      <c r="B30" s="160"/>
      <c r="C30" s="160"/>
      <c r="D30" s="160"/>
      <c r="E30" s="161"/>
      <c r="F30" s="162"/>
      <c r="G30" s="147"/>
      <c r="H30" s="147"/>
      <c r="I30" s="147"/>
      <c r="J30" s="147"/>
      <c r="K30" s="147"/>
      <c r="L30" s="147"/>
      <c r="M30" s="147"/>
      <c r="N30" s="147"/>
      <c r="O30" s="147"/>
      <c r="P30" s="141"/>
      <c r="Q30" s="141"/>
    </row>
    <row r="31" spans="1:17" s="198" customFormat="1" ht="22.35" customHeight="1" x14ac:dyDescent="0.3">
      <c r="A31" s="165"/>
      <c r="B31" s="154"/>
      <c r="C31" s="154"/>
      <c r="D31" s="154"/>
      <c r="E31" s="156"/>
      <c r="F31" s="172"/>
      <c r="G31" s="147"/>
      <c r="H31" s="147"/>
      <c r="I31" s="147"/>
      <c r="J31" s="147"/>
      <c r="K31" s="147"/>
      <c r="L31" s="147"/>
      <c r="M31" s="147"/>
      <c r="N31" s="147"/>
      <c r="O31" s="147"/>
      <c r="P31" s="141"/>
      <c r="Q31" s="141"/>
    </row>
    <row r="32" spans="1:17" s="198" customFormat="1" ht="22.35" customHeight="1" x14ac:dyDescent="0.3">
      <c r="A32" s="165"/>
      <c r="B32" s="154"/>
      <c r="C32" s="153"/>
      <c r="D32" s="154"/>
      <c r="E32" s="156"/>
      <c r="F32" s="172"/>
      <c r="G32" s="147"/>
      <c r="H32" s="147"/>
      <c r="I32" s="147"/>
      <c r="J32" s="147"/>
      <c r="K32" s="147"/>
      <c r="L32" s="147"/>
      <c r="M32" s="147"/>
      <c r="N32" s="147"/>
      <c r="O32" s="147"/>
      <c r="P32" s="141"/>
      <c r="Q32" s="141"/>
    </row>
    <row r="33" spans="1:16" s="198" customFormat="1" ht="22.35" customHeight="1" x14ac:dyDescent="0.3">
      <c r="A33" s="165"/>
      <c r="B33" s="154"/>
      <c r="C33" s="154"/>
      <c r="D33" s="154"/>
      <c r="E33" s="156"/>
      <c r="F33" s="172"/>
      <c r="G33" s="147"/>
      <c r="H33" s="147"/>
      <c r="I33" s="147"/>
      <c r="J33" s="147"/>
      <c r="K33" s="147"/>
      <c r="L33" s="147"/>
      <c r="M33" s="147"/>
      <c r="N33" s="147"/>
      <c r="O33" s="147"/>
    </row>
    <row r="34" spans="1:16" s="198" customFormat="1" ht="22.35" customHeight="1" x14ac:dyDescent="0.3">
      <c r="A34" s="165"/>
      <c r="B34" s="154"/>
      <c r="C34" s="154"/>
      <c r="D34" s="154"/>
      <c r="E34" s="156"/>
      <c r="F34" s="172"/>
      <c r="G34" s="147"/>
      <c r="H34" s="147"/>
      <c r="I34" s="147"/>
      <c r="J34" s="147"/>
      <c r="K34" s="147"/>
      <c r="L34" s="147"/>
      <c r="M34" s="147"/>
      <c r="N34" s="147"/>
      <c r="O34" s="147"/>
    </row>
    <row r="35" spans="1:16" s="198" customFormat="1" ht="22.35" customHeight="1" x14ac:dyDescent="0.3">
      <c r="A35" s="165"/>
      <c r="B35" s="154"/>
      <c r="C35" s="154"/>
      <c r="D35" s="154"/>
      <c r="E35" s="156"/>
      <c r="F35" s="172"/>
      <c r="G35" s="147"/>
      <c r="H35" s="147"/>
      <c r="I35" s="147"/>
      <c r="J35" s="147"/>
      <c r="K35" s="147"/>
      <c r="L35" s="147"/>
      <c r="M35" s="147"/>
      <c r="N35" s="147"/>
      <c r="O35" s="147"/>
    </row>
    <row r="36" spans="1:16" s="198" customFormat="1" ht="22.35" customHeight="1" x14ac:dyDescent="0.3">
      <c r="A36" s="165"/>
      <c r="B36" s="154"/>
      <c r="C36" s="154"/>
      <c r="D36" s="154"/>
      <c r="E36" s="156"/>
      <c r="F36" s="172"/>
      <c r="G36" s="147"/>
      <c r="H36" s="147"/>
      <c r="I36" s="147"/>
      <c r="J36" s="147"/>
      <c r="K36" s="147"/>
      <c r="L36" s="147"/>
      <c r="M36" s="147"/>
      <c r="N36" s="147"/>
      <c r="O36" s="147"/>
    </row>
    <row r="37" spans="1:16" s="198" customFormat="1" ht="22.35" customHeight="1" x14ac:dyDescent="0.3">
      <c r="A37" s="165"/>
      <c r="B37" s="154"/>
      <c r="C37" s="154"/>
      <c r="D37" s="154"/>
      <c r="E37" s="156"/>
      <c r="F37" s="172"/>
      <c r="G37" s="145"/>
      <c r="H37" s="149"/>
      <c r="I37" s="149"/>
      <c r="J37" s="149"/>
      <c r="K37" s="149"/>
      <c r="L37" s="149"/>
      <c r="M37" s="141"/>
      <c r="N37" s="141"/>
      <c r="O37" s="141"/>
    </row>
    <row r="38" spans="1:16" s="198" customFormat="1" ht="22.35" customHeight="1" x14ac:dyDescent="0.3">
      <c r="A38" s="165"/>
      <c r="B38" s="154"/>
      <c r="C38" s="154"/>
      <c r="D38" s="154"/>
      <c r="E38" s="156"/>
      <c r="F38" s="172"/>
      <c r="G38" s="145"/>
      <c r="H38" s="149"/>
      <c r="I38" s="149"/>
      <c r="J38" s="149"/>
      <c r="K38" s="149"/>
      <c r="L38" s="149"/>
      <c r="M38" s="141"/>
      <c r="N38" s="141"/>
      <c r="O38" s="141"/>
    </row>
    <row r="39" spans="1:16" s="198" customFormat="1" ht="22.35" customHeight="1" x14ac:dyDescent="0.3">
      <c r="A39" s="165"/>
      <c r="B39" s="154"/>
      <c r="C39" s="154"/>
      <c r="D39" s="154"/>
      <c r="E39" s="156"/>
      <c r="F39" s="172"/>
      <c r="G39" s="145"/>
      <c r="H39" s="149"/>
      <c r="I39" s="149"/>
      <c r="J39" s="149"/>
      <c r="K39" s="149"/>
      <c r="L39" s="149"/>
      <c r="M39" s="141"/>
      <c r="N39" s="141"/>
      <c r="O39" s="141"/>
    </row>
    <row r="40" spans="1:16" s="198" customFormat="1" ht="22.35" customHeight="1" thickBot="1" x14ac:dyDescent="0.35">
      <c r="A40" s="168"/>
      <c r="B40" s="170"/>
      <c r="C40" s="170"/>
      <c r="D40" s="170"/>
      <c r="E40" s="173"/>
      <c r="F40" s="174"/>
      <c r="G40" s="145"/>
      <c r="H40" s="149"/>
      <c r="I40" s="149"/>
      <c r="J40" s="149"/>
      <c r="K40" s="149"/>
      <c r="L40" s="149"/>
      <c r="M40" s="141"/>
      <c r="N40" s="141"/>
      <c r="O40" s="141"/>
    </row>
    <row r="41" spans="1:16" s="198" customFormat="1" ht="41.1" customHeight="1" thickBot="1" x14ac:dyDescent="0.35">
      <c r="A41" s="186" t="s">
        <v>26</v>
      </c>
      <c r="B41" s="267">
        <v>2800</v>
      </c>
      <c r="C41" s="268"/>
      <c r="D41" s="186" t="s">
        <v>27</v>
      </c>
      <c r="E41" s="267">
        <f>+SUM(A42:F45)</f>
        <v>0</v>
      </c>
      <c r="F41" s="269"/>
      <c r="G41" s="145"/>
      <c r="H41" s="149"/>
      <c r="I41" s="149"/>
      <c r="J41" s="149"/>
      <c r="K41" s="149"/>
      <c r="L41" s="149"/>
      <c r="M41" s="141"/>
      <c r="N41" s="141"/>
      <c r="O41" s="141"/>
    </row>
    <row r="42" spans="1:16" s="198" customFormat="1" ht="22.35" customHeight="1" x14ac:dyDescent="0.3">
      <c r="A42" s="178"/>
      <c r="B42" s="1"/>
      <c r="C42" s="1"/>
      <c r="D42" s="1"/>
      <c r="E42" s="2"/>
      <c r="F42" s="179"/>
      <c r="G42" s="145"/>
      <c r="H42" s="149"/>
      <c r="I42" s="149"/>
      <c r="J42" s="149"/>
      <c r="K42" s="149"/>
      <c r="L42" s="149"/>
      <c r="M42" s="141"/>
      <c r="N42" s="141"/>
      <c r="O42" s="141"/>
    </row>
    <row r="43" spans="1:16" s="198" customFormat="1" ht="22.35" customHeight="1" x14ac:dyDescent="0.3">
      <c r="A43" s="180"/>
      <c r="B43" s="3"/>
      <c r="C43" s="3"/>
      <c r="D43" s="3"/>
      <c r="E43" s="2"/>
      <c r="F43" s="179"/>
      <c r="G43" s="145"/>
      <c r="H43" s="149"/>
      <c r="I43" s="149"/>
      <c r="J43" s="149"/>
      <c r="K43" s="149"/>
      <c r="L43" s="149"/>
      <c r="M43" s="141"/>
      <c r="N43" s="141"/>
      <c r="O43" s="141"/>
      <c r="P43" s="141"/>
    </row>
    <row r="44" spans="1:16" s="198" customFormat="1" ht="22.35" customHeight="1" x14ac:dyDescent="0.3">
      <c r="A44" s="181"/>
      <c r="B44" s="3"/>
      <c r="C44" s="3"/>
      <c r="D44" s="3"/>
      <c r="E44" s="2"/>
      <c r="F44" s="179"/>
      <c r="G44" s="145"/>
      <c r="H44" s="149"/>
      <c r="I44" s="149"/>
      <c r="J44" s="149"/>
      <c r="K44" s="149"/>
      <c r="L44" s="149"/>
      <c r="M44" s="141"/>
      <c r="N44" s="141"/>
      <c r="O44" s="141"/>
    </row>
    <row r="45" spans="1:16" s="198" customFormat="1" ht="22.35" customHeight="1" thickBot="1" x14ac:dyDescent="0.35">
      <c r="A45" s="182"/>
      <c r="B45" s="183"/>
      <c r="C45" s="183"/>
      <c r="D45" s="183"/>
      <c r="E45" s="184"/>
      <c r="F45" s="185"/>
      <c r="G45" s="145"/>
      <c r="H45" s="149"/>
      <c r="I45" s="149"/>
      <c r="J45" s="149"/>
      <c r="K45" s="149"/>
      <c r="L45" s="149"/>
      <c r="M45" s="141"/>
      <c r="N45" s="141"/>
      <c r="O45" s="141"/>
    </row>
    <row r="46" spans="1:16" s="198" customFormat="1" ht="42.6" customHeight="1" thickBot="1" x14ac:dyDescent="0.35">
      <c r="A46" s="270" t="s">
        <v>28</v>
      </c>
      <c r="B46" s="271"/>
      <c r="C46" s="271"/>
      <c r="D46" s="271"/>
      <c r="E46" s="267" t="str">
        <f>+IFERROR(AVERAGE(D51:E51),"-")</f>
        <v>-</v>
      </c>
      <c r="F46" s="269"/>
      <c r="G46" s="145"/>
      <c r="H46" s="149"/>
      <c r="I46" s="149"/>
      <c r="J46" s="149"/>
      <c r="K46" s="149"/>
      <c r="L46" s="149"/>
      <c r="M46" s="141"/>
      <c r="N46" s="141"/>
      <c r="O46" s="141"/>
    </row>
    <row r="47" spans="1:16" s="198" customFormat="1" ht="22.35" customHeight="1" x14ac:dyDescent="0.3">
      <c r="A47" s="280" t="s">
        <v>29</v>
      </c>
      <c r="B47" s="281"/>
      <c r="C47" s="188" t="s">
        <v>30</v>
      </c>
      <c r="D47" s="190">
        <f>'PRA-1'!L49</f>
        <v>0</v>
      </c>
      <c r="E47" s="297">
        <f>'PRA-1'!P49</f>
        <v>0</v>
      </c>
      <c r="F47" s="298"/>
      <c r="G47" s="145"/>
      <c r="H47" s="149"/>
      <c r="I47" s="149"/>
      <c r="J47" s="149"/>
      <c r="K47" s="149"/>
      <c r="L47" s="149"/>
      <c r="M47" s="141"/>
      <c r="N47" s="141"/>
      <c r="O47" s="141"/>
    </row>
    <row r="48" spans="1:16" s="198" customFormat="1" ht="22.35" customHeight="1" x14ac:dyDescent="0.3">
      <c r="A48" s="272" t="s">
        <v>31</v>
      </c>
      <c r="B48" s="273"/>
      <c r="C48" s="187" t="s">
        <v>32</v>
      </c>
      <c r="D48" s="204">
        <f>'PRA-1'!N49</f>
        <v>0</v>
      </c>
      <c r="E48" s="229">
        <f>'PRA-1'!R49</f>
        <v>0</v>
      </c>
      <c r="F48" s="299"/>
      <c r="G48" s="145"/>
      <c r="H48" s="149"/>
      <c r="I48" s="149"/>
      <c r="J48" s="149"/>
      <c r="K48" s="149"/>
      <c r="L48" s="149"/>
      <c r="M48" s="141"/>
      <c r="N48" s="141"/>
      <c r="O48" s="141"/>
    </row>
    <row r="49" spans="1:20" s="198" customFormat="1" ht="22.35" customHeight="1" x14ac:dyDescent="0.3">
      <c r="A49" s="272" t="s">
        <v>33</v>
      </c>
      <c r="B49" s="273"/>
      <c r="C49" s="187" t="s">
        <v>32</v>
      </c>
      <c r="D49" s="204">
        <f>'PRA-1'!O49</f>
        <v>0</v>
      </c>
      <c r="E49" s="229">
        <f>'PRA-1'!S49</f>
        <v>0</v>
      </c>
      <c r="F49" s="299"/>
      <c r="G49" s="145"/>
      <c r="H49" s="149"/>
      <c r="I49" s="149"/>
      <c r="J49" s="149"/>
      <c r="K49" s="149"/>
      <c r="L49" s="149"/>
      <c r="M49" s="141"/>
      <c r="N49" s="141"/>
      <c r="O49" s="141"/>
      <c r="P49" s="141"/>
      <c r="Q49" s="141"/>
      <c r="R49" s="141"/>
      <c r="S49" s="141"/>
      <c r="T49" s="141"/>
    </row>
    <row r="50" spans="1:20" s="198" customFormat="1" ht="22.35" customHeight="1" x14ac:dyDescent="0.3">
      <c r="A50" s="272" t="s">
        <v>34</v>
      </c>
      <c r="B50" s="273"/>
      <c r="C50" s="187" t="s">
        <v>32</v>
      </c>
      <c r="D50" s="204">
        <f>'PRA-1'!M49</f>
        <v>0</v>
      </c>
      <c r="E50" s="229">
        <f>'PRA-1'!Q49</f>
        <v>0</v>
      </c>
      <c r="F50" s="299"/>
      <c r="G50" s="145"/>
      <c r="H50" s="149"/>
      <c r="I50" s="149"/>
      <c r="J50" s="149"/>
      <c r="K50" s="149"/>
      <c r="L50" s="149"/>
      <c r="M50" s="141"/>
      <c r="N50" s="141"/>
      <c r="O50" s="141"/>
      <c r="P50" s="141"/>
      <c r="Q50" s="141"/>
      <c r="R50" s="141"/>
      <c r="S50" s="141"/>
      <c r="T50" s="141"/>
    </row>
    <row r="51" spans="1:20" s="198" customFormat="1" ht="22.35" customHeight="1" thickBot="1" x14ac:dyDescent="0.35">
      <c r="A51" s="276" t="s">
        <v>35</v>
      </c>
      <c r="B51" s="277"/>
      <c r="C51" s="195" t="s">
        <v>36</v>
      </c>
      <c r="D51" s="196" t="str">
        <f>+IFERROR(ROUND((D48-D49)/(D49-D50)*100,2),"-")</f>
        <v>-</v>
      </c>
      <c r="E51" s="278" t="str">
        <f>+IFERROR(ROUND((E48-E49)/(E49-E50)*100,2),"-")</f>
        <v>-</v>
      </c>
      <c r="F51" s="279"/>
      <c r="G51" s="145"/>
      <c r="H51" s="149"/>
      <c r="I51" s="149"/>
      <c r="J51" s="149"/>
      <c r="K51" s="149"/>
      <c r="L51" s="149"/>
      <c r="M51" s="141"/>
      <c r="N51" s="141"/>
      <c r="O51" s="141"/>
      <c r="P51" s="141"/>
      <c r="Q51" s="141"/>
      <c r="R51" s="141"/>
      <c r="S51" s="141"/>
      <c r="T51" s="141"/>
    </row>
    <row r="52" spans="1:20" ht="17.399999999999999" x14ac:dyDescent="0.3">
      <c r="A52" s="150"/>
      <c r="B52" s="145"/>
      <c r="C52" s="145"/>
      <c r="D52" s="145"/>
      <c r="E52" s="145"/>
      <c r="F52" s="146"/>
      <c r="G52" s="145"/>
      <c r="H52" s="146"/>
      <c r="I52" s="146"/>
      <c r="J52" s="146"/>
      <c r="K52" s="146"/>
      <c r="L52" s="146"/>
      <c r="M52" s="141"/>
      <c r="N52" s="141"/>
      <c r="O52" s="141"/>
      <c r="P52" s="141"/>
      <c r="Q52" s="141"/>
      <c r="R52" s="140"/>
      <c r="S52" s="140"/>
      <c r="T52" s="140"/>
    </row>
    <row r="53" spans="1:20" s="199" customFormat="1" ht="16.350000000000001" customHeight="1" x14ac:dyDescent="0.3">
      <c r="A53" s="142"/>
      <c r="B53" s="142"/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</row>
    <row r="54" spans="1:20" s="200" customFormat="1" ht="43.35" customHeight="1" x14ac:dyDescent="0.3">
      <c r="A54" s="189" t="s">
        <v>37</v>
      </c>
      <c r="B54" s="189" t="s">
        <v>38</v>
      </c>
      <c r="C54" s="189" t="s">
        <v>39</v>
      </c>
      <c r="D54" s="189" t="s">
        <v>40</v>
      </c>
      <c r="E54" s="189" t="s">
        <v>5</v>
      </c>
      <c r="F54" s="189" t="s">
        <v>41</v>
      </c>
      <c r="G54" s="189" t="s">
        <v>42</v>
      </c>
      <c r="H54" s="189" t="s">
        <v>43</v>
      </c>
      <c r="I54" s="189" t="s">
        <v>46</v>
      </c>
      <c r="J54" s="189" t="s">
        <v>44</v>
      </c>
      <c r="K54" s="189" t="s">
        <v>45</v>
      </c>
      <c r="L54" s="189" t="s">
        <v>43</v>
      </c>
      <c r="M54" s="189" t="s">
        <v>46</v>
      </c>
      <c r="N54" s="189" t="s">
        <v>44</v>
      </c>
      <c r="O54" s="189" t="s">
        <v>45</v>
      </c>
      <c r="P54" s="189" t="s">
        <v>47</v>
      </c>
      <c r="Q54" s="189" t="s">
        <v>48</v>
      </c>
      <c r="R54" s="189" t="s">
        <v>49</v>
      </c>
      <c r="S54" s="189" t="s">
        <v>50</v>
      </c>
      <c r="T54" s="189" t="s">
        <v>51</v>
      </c>
    </row>
    <row r="55" spans="1:20" s="201" customFormat="1" ht="44.85" customHeight="1" x14ac:dyDescent="0.3">
      <c r="A55" s="139" t="str">
        <f>+B3</f>
        <v>A</v>
      </c>
      <c r="B55" s="139">
        <f>+B4</f>
        <v>1</v>
      </c>
      <c r="C55" s="151">
        <f>+B5</f>
        <v>0.55000000000000004</v>
      </c>
      <c r="D55" s="151">
        <f>+E2</f>
        <v>24.5</v>
      </c>
      <c r="E55" s="139" t="str">
        <f>+E3</f>
        <v>Rodillo liso</v>
      </c>
      <c r="F55" s="139" t="str">
        <f>+E5</f>
        <v>Grava mal gradada</v>
      </c>
      <c r="G55" s="139">
        <f>+E4</f>
        <v>6</v>
      </c>
      <c r="H55" s="139">
        <f>+D47</f>
        <v>0</v>
      </c>
      <c r="I55" s="139">
        <f>+D50</f>
        <v>0</v>
      </c>
      <c r="J55" s="139">
        <f>+D48</f>
        <v>0</v>
      </c>
      <c r="K55" s="139">
        <f>+D49</f>
        <v>0</v>
      </c>
      <c r="L55" s="139">
        <f>+E47</f>
        <v>0</v>
      </c>
      <c r="M55" s="139">
        <f>+E50</f>
        <v>0</v>
      </c>
      <c r="N55" s="139">
        <f>+E48</f>
        <v>0</v>
      </c>
      <c r="O55" s="151">
        <f>+E49</f>
        <v>0</v>
      </c>
      <c r="P55" s="192">
        <f>E9*1000</f>
        <v>2134</v>
      </c>
      <c r="Q55" s="151">
        <f>+B14</f>
        <v>15.75</v>
      </c>
      <c r="R55" s="151">
        <f>+E14</f>
        <v>3.15</v>
      </c>
      <c r="S55" s="151">
        <f>+E15</f>
        <v>618.15</v>
      </c>
      <c r="T55" s="151">
        <f>+E29</f>
        <v>272.8</v>
      </c>
    </row>
    <row r="56" spans="1:20" x14ac:dyDescent="0.25">
      <c r="A56" s="176"/>
      <c r="B56" s="176"/>
      <c r="C56" s="176"/>
      <c r="D56" s="176"/>
      <c r="E56" s="176"/>
      <c r="F56" s="140"/>
      <c r="G56" s="176"/>
      <c r="H56" s="140"/>
      <c r="I56" s="140"/>
      <c r="J56" s="140"/>
      <c r="K56" s="140"/>
      <c r="L56" s="140"/>
      <c r="M56" s="140"/>
      <c r="N56" s="140"/>
      <c r="O56" s="140"/>
      <c r="P56" s="142"/>
      <c r="Q56" s="177"/>
      <c r="R56" s="140"/>
      <c r="S56" s="140"/>
      <c r="T56" s="140"/>
    </row>
    <row r="57" spans="1:20" x14ac:dyDescent="0.25">
      <c r="A57" s="176"/>
      <c r="B57" s="176"/>
      <c r="C57" s="176"/>
      <c r="D57" s="176"/>
      <c r="E57" s="176"/>
      <c r="F57" s="140"/>
      <c r="G57" s="176"/>
      <c r="H57" s="140"/>
      <c r="I57" s="140"/>
      <c r="J57" s="140"/>
      <c r="K57" s="140"/>
      <c r="L57" s="140"/>
      <c r="M57" s="140"/>
      <c r="N57" s="140"/>
      <c r="O57" s="140"/>
      <c r="P57" s="142"/>
      <c r="Q57" s="142"/>
      <c r="R57" s="140"/>
      <c r="S57" s="140"/>
      <c r="T57" s="140"/>
    </row>
  </sheetData>
  <sheetProtection algorithmName="SHA-512" hashValue="+zg7SgsJzfqQLFYKvK3PDLwN7P4CTXu8TmEBFWFTk2REO1uqvhmFL6KbuD46+0XESqKICWcPjPFF0ZTgkHeyEQ==" saltValue="bEcoS2fK8wBy8KyXr8OLWg==" spinCount="100000" sheet="1" objects="1" scenarios="1"/>
  <mergeCells count="46">
    <mergeCell ref="A49:B49"/>
    <mergeCell ref="E49:F49"/>
    <mergeCell ref="A50:B50"/>
    <mergeCell ref="E50:F50"/>
    <mergeCell ref="A51:B51"/>
    <mergeCell ref="E51:F51"/>
    <mergeCell ref="A46:D46"/>
    <mergeCell ref="E46:F46"/>
    <mergeCell ref="A47:B47"/>
    <mergeCell ref="E47:F47"/>
    <mergeCell ref="A48:B48"/>
    <mergeCell ref="E48:F48"/>
    <mergeCell ref="A15:D15"/>
    <mergeCell ref="E15:F15"/>
    <mergeCell ref="A29:D29"/>
    <mergeCell ref="E29:F29"/>
    <mergeCell ref="B41:C41"/>
    <mergeCell ref="E41:F41"/>
    <mergeCell ref="B14:C14"/>
    <mergeCell ref="E14:F14"/>
    <mergeCell ref="A8:B8"/>
    <mergeCell ref="C8:D8"/>
    <mergeCell ref="E8:F8"/>
    <mergeCell ref="A9:D9"/>
    <mergeCell ref="E9:F9"/>
    <mergeCell ref="A10:D10"/>
    <mergeCell ref="E10:F10"/>
    <mergeCell ref="A11:D11"/>
    <mergeCell ref="E11:F11"/>
    <mergeCell ref="A12:D12"/>
    <mergeCell ref="E12:F12"/>
    <mergeCell ref="A13:F13"/>
    <mergeCell ref="B5:C5"/>
    <mergeCell ref="D5:D6"/>
    <mergeCell ref="E5:F6"/>
    <mergeCell ref="B6:C6"/>
    <mergeCell ref="A7:B7"/>
    <mergeCell ref="C7:D7"/>
    <mergeCell ref="E7:F7"/>
    <mergeCell ref="B4:C4"/>
    <mergeCell ref="E4:F4"/>
    <mergeCell ref="A1:F1"/>
    <mergeCell ref="B2:C2"/>
    <mergeCell ref="E2:F2"/>
    <mergeCell ref="B3:C3"/>
    <mergeCell ref="E3:F3"/>
  </mergeCells>
  <pageMargins left="0.7" right="0.7" top="0.75" bottom="0.75" header="0.3" footer="0.3"/>
  <pageSetup paperSize="9" scale="51" fitToWidth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4E6F7-C3FE-4E14-B079-65B64C8B422C}">
  <sheetPr codeName="Hoja4">
    <tabColor rgb="FFFFC000"/>
  </sheetPr>
  <dimension ref="A1:AT126"/>
  <sheetViews>
    <sheetView zoomScale="59" zoomScaleNormal="59" workbookViewId="0">
      <pane ySplit="3" topLeftCell="A39" activePane="bottomLeft" state="frozen"/>
      <selection activeCell="B1" sqref="B1"/>
      <selection pane="bottomLeft" activeCell="G64" sqref="G64"/>
    </sheetView>
  </sheetViews>
  <sheetFormatPr baseColWidth="10" defaultColWidth="11.5546875" defaultRowHeight="15" x14ac:dyDescent="0.25"/>
  <cols>
    <col min="1" max="1" width="23.44140625" style="85" customWidth="1"/>
    <col min="2" max="2" width="15" style="85" customWidth="1"/>
    <col min="3" max="3" width="15.5546875" style="85" customWidth="1"/>
    <col min="4" max="4" width="22.5546875" style="85" customWidth="1"/>
    <col min="5" max="5" width="15" style="85" customWidth="1"/>
    <col min="6" max="6" width="15" style="33" customWidth="1"/>
    <col min="7" max="7" width="15.5546875" style="85" customWidth="1"/>
    <col min="8" max="8" width="15" style="33" customWidth="1"/>
    <col min="9" max="11" width="10.44140625" style="33" customWidth="1"/>
    <col min="12" max="12" width="13.5546875" style="33" customWidth="1"/>
    <col min="13" max="14" width="10.44140625" style="33" customWidth="1"/>
    <col min="15" max="15" width="13.5546875" style="33" customWidth="1"/>
    <col min="16" max="16" width="20.5546875" style="33" customWidth="1"/>
    <col min="17" max="17" width="14.5546875" style="33" customWidth="1"/>
    <col min="18" max="18" width="25.44140625" style="33" customWidth="1"/>
    <col min="19" max="19" width="20" style="33" customWidth="1"/>
    <col min="20" max="20" width="11.5546875" style="33"/>
    <col min="21" max="21" width="15" style="33" customWidth="1"/>
    <col min="22" max="23" width="11.5546875" style="33"/>
    <col min="24" max="24" width="31.5546875" style="33" customWidth="1"/>
    <col min="25" max="25" width="17.44140625" style="33" customWidth="1"/>
    <col min="26" max="26" width="14.5546875" style="33" customWidth="1"/>
    <col min="27" max="27" width="22.5546875" style="33" customWidth="1"/>
    <col min="28" max="28" width="15.5546875" style="33" customWidth="1"/>
    <col min="29" max="46" width="19.44140625" style="33" customWidth="1"/>
    <col min="47" max="16384" width="11.5546875" style="33"/>
  </cols>
  <sheetData>
    <row r="1" spans="1:46" ht="31.35" customHeight="1" thickBot="1" x14ac:dyDescent="0.3">
      <c r="A1" s="332" t="s">
        <v>52</v>
      </c>
      <c r="B1" s="333"/>
      <c r="C1" s="333"/>
      <c r="D1" s="333"/>
      <c r="E1" s="333"/>
      <c r="F1" s="334"/>
      <c r="G1" s="64"/>
      <c r="H1" s="31"/>
      <c r="I1" s="30"/>
      <c r="J1" s="30"/>
      <c r="K1" s="30"/>
      <c r="L1" s="30"/>
      <c r="M1" s="30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</row>
    <row r="2" spans="1:46" ht="30" customHeight="1" x14ac:dyDescent="0.3">
      <c r="A2" s="34" t="s">
        <v>53</v>
      </c>
      <c r="B2" s="34" t="s">
        <v>54</v>
      </c>
      <c r="C2" s="335" t="s">
        <v>55</v>
      </c>
      <c r="D2" s="336"/>
      <c r="E2" s="34" t="s">
        <v>56</v>
      </c>
      <c r="F2" s="34" t="s">
        <v>57</v>
      </c>
      <c r="G2" s="64"/>
      <c r="H2" s="30"/>
      <c r="I2" s="30"/>
      <c r="J2" s="30"/>
      <c r="K2" s="30"/>
      <c r="L2" s="30"/>
      <c r="M2" s="30"/>
      <c r="N2" s="32"/>
      <c r="O2" s="39"/>
      <c r="P2" s="39"/>
      <c r="Q2" s="39"/>
      <c r="R2" s="39"/>
      <c r="S2" s="39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</row>
    <row r="3" spans="1:46" ht="27" customHeight="1" x14ac:dyDescent="0.3">
      <c r="A3" s="128" t="str">
        <f ca="1">+IF(ABS(B5-TODAY())=0,"-","NO")</f>
        <v>NO</v>
      </c>
      <c r="B3" s="128" t="str">
        <f>+IF(F3&gt;95,"-","NO")</f>
        <v>-</v>
      </c>
      <c r="C3" s="337" t="str">
        <f>+Q73</f>
        <v>-</v>
      </c>
      <c r="D3" s="338"/>
      <c r="E3" s="35" t="str">
        <f ca="1">+IF(AND(A3="-",B3="-",C3="-",F3&gt;95),"OK","REVISAR")</f>
        <v>REVISAR</v>
      </c>
      <c r="F3" s="36">
        <f>+D113</f>
        <v>111.02</v>
      </c>
      <c r="G3" s="64"/>
      <c r="H3" s="30"/>
      <c r="I3" s="30"/>
      <c r="J3" s="30"/>
      <c r="K3" s="30"/>
      <c r="L3" s="30"/>
      <c r="M3" s="30"/>
      <c r="N3" s="32"/>
      <c r="O3" s="39"/>
      <c r="P3" s="39"/>
      <c r="Q3" s="39"/>
      <c r="R3" s="39"/>
      <c r="S3" s="39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</row>
    <row r="4" spans="1:46" ht="22.35" customHeight="1" x14ac:dyDescent="0.3">
      <c r="A4" s="40" t="s">
        <v>58</v>
      </c>
      <c r="B4" s="326">
        <v>3</v>
      </c>
      <c r="C4" s="327"/>
      <c r="D4" s="38" t="s">
        <v>59</v>
      </c>
      <c r="E4" s="339"/>
      <c r="F4" s="339"/>
      <c r="G4" s="64"/>
      <c r="H4" s="30"/>
      <c r="I4" s="30"/>
      <c r="J4" s="30"/>
      <c r="K4" s="30"/>
      <c r="L4" s="30"/>
      <c r="M4" s="30"/>
      <c r="N4" s="32"/>
      <c r="O4" s="39"/>
      <c r="P4" s="39"/>
      <c r="Q4" s="39"/>
      <c r="R4" s="39"/>
      <c r="S4" s="39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</row>
    <row r="5" spans="1:46" s="44" customFormat="1" ht="22.35" customHeight="1" x14ac:dyDescent="0.3">
      <c r="A5" s="38" t="s">
        <v>60</v>
      </c>
      <c r="B5" s="330"/>
      <c r="C5" s="331"/>
      <c r="D5" s="38" t="s">
        <v>61</v>
      </c>
      <c r="E5" s="326"/>
      <c r="F5" s="326"/>
      <c r="G5" s="64"/>
      <c r="H5" s="42" t="s">
        <v>62</v>
      </c>
      <c r="I5" s="43"/>
      <c r="J5" s="43"/>
      <c r="K5" s="43"/>
      <c r="L5" s="43"/>
      <c r="M5" s="41"/>
      <c r="N5" s="39"/>
      <c r="O5" s="110" t="s">
        <v>63</v>
      </c>
      <c r="P5" s="39"/>
      <c r="Q5" s="39"/>
      <c r="R5" s="39"/>
      <c r="S5" s="39"/>
      <c r="T5" s="39"/>
      <c r="U5" s="32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</row>
    <row r="6" spans="1:46" s="44" customFormat="1" ht="22.35" customHeight="1" x14ac:dyDescent="0.3">
      <c r="A6" s="40" t="s">
        <v>63</v>
      </c>
      <c r="B6" s="326"/>
      <c r="C6" s="327"/>
      <c r="D6" s="38" t="s">
        <v>64</v>
      </c>
      <c r="E6" s="326"/>
      <c r="F6" s="326"/>
      <c r="G6" s="64"/>
      <c r="H6" s="29" t="s">
        <v>65</v>
      </c>
      <c r="I6" s="29"/>
      <c r="J6" s="29"/>
      <c r="K6" s="29"/>
      <c r="L6" s="29"/>
      <c r="M6" s="41"/>
      <c r="N6" s="39"/>
      <c r="O6" s="29" t="s">
        <v>66</v>
      </c>
      <c r="P6" s="39"/>
      <c r="Q6" s="39"/>
      <c r="R6" s="39"/>
      <c r="S6" s="39"/>
      <c r="T6" s="39"/>
      <c r="U6" s="32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</row>
    <row r="7" spans="1:46" s="44" customFormat="1" ht="22.35" customHeight="1" x14ac:dyDescent="0.3">
      <c r="A7" s="45" t="s">
        <v>67</v>
      </c>
      <c r="B7" s="328"/>
      <c r="C7" s="329"/>
      <c r="D7" s="38" t="s">
        <v>68</v>
      </c>
      <c r="E7" s="326"/>
      <c r="F7" s="326"/>
      <c r="G7" s="64"/>
      <c r="H7" s="29" t="s">
        <v>69</v>
      </c>
      <c r="I7" s="29"/>
      <c r="J7" s="29"/>
      <c r="K7" s="29"/>
      <c r="L7" s="29"/>
      <c r="M7" s="41"/>
      <c r="N7" s="39"/>
      <c r="O7" s="29" t="s">
        <v>70</v>
      </c>
      <c r="P7" s="39"/>
      <c r="Q7" s="39"/>
      <c r="R7" s="39"/>
      <c r="S7" s="39"/>
      <c r="T7" s="39"/>
      <c r="U7" s="32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</row>
    <row r="8" spans="1:46" s="44" customFormat="1" ht="22.35" customHeight="1" x14ac:dyDescent="0.3">
      <c r="A8" s="45" t="s">
        <v>71</v>
      </c>
      <c r="B8" s="324"/>
      <c r="C8" s="324"/>
      <c r="D8" s="37" t="s">
        <v>72</v>
      </c>
      <c r="E8" s="316">
        <v>0.62</v>
      </c>
      <c r="F8" s="316"/>
      <c r="G8" s="64"/>
      <c r="H8" s="29" t="s">
        <v>73</v>
      </c>
      <c r="I8" s="29"/>
      <c r="J8" s="29"/>
      <c r="K8" s="29"/>
      <c r="L8" s="29"/>
      <c r="M8" s="41"/>
      <c r="N8" s="39"/>
      <c r="O8" s="39"/>
      <c r="P8" s="39"/>
      <c r="Q8" s="39"/>
      <c r="R8" s="39"/>
      <c r="S8" s="39"/>
      <c r="T8" s="39"/>
      <c r="U8" s="32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</row>
    <row r="9" spans="1:46" s="44" customFormat="1" ht="22.35" customHeight="1" x14ac:dyDescent="0.3">
      <c r="A9" s="37" t="s">
        <v>74</v>
      </c>
      <c r="B9" s="316"/>
      <c r="C9" s="316"/>
      <c r="D9" s="37" t="s">
        <v>75</v>
      </c>
      <c r="E9" s="316">
        <v>24.5</v>
      </c>
      <c r="F9" s="316"/>
      <c r="G9" s="64"/>
      <c r="H9" s="29" t="s">
        <v>76</v>
      </c>
      <c r="I9" s="29"/>
      <c r="J9" s="29"/>
      <c r="K9" s="29"/>
      <c r="L9" s="29"/>
      <c r="M9" s="41"/>
      <c r="N9" s="39"/>
      <c r="O9" s="39"/>
      <c r="P9" s="39"/>
      <c r="Q9" s="39"/>
      <c r="R9" s="39"/>
      <c r="S9" s="39"/>
      <c r="T9" s="39"/>
      <c r="U9" s="32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</row>
    <row r="10" spans="1:46" s="44" customFormat="1" ht="22.35" customHeight="1" x14ac:dyDescent="0.3">
      <c r="A10" s="37" t="s">
        <v>77</v>
      </c>
      <c r="B10" s="317"/>
      <c r="C10" s="318"/>
      <c r="D10" s="37" t="s">
        <v>78</v>
      </c>
      <c r="E10" s="316">
        <v>4</v>
      </c>
      <c r="F10" s="316"/>
      <c r="G10" s="64"/>
      <c r="H10" s="29"/>
      <c r="I10" s="29"/>
      <c r="J10" s="29"/>
      <c r="K10" s="29"/>
      <c r="L10" s="29"/>
      <c r="M10" s="41"/>
      <c r="N10" s="39"/>
      <c r="O10" s="39"/>
      <c r="P10" s="39"/>
      <c r="Q10" s="39"/>
      <c r="R10" s="39"/>
      <c r="S10" s="39"/>
      <c r="T10" s="39"/>
      <c r="U10" s="32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</row>
    <row r="11" spans="1:46" s="44" customFormat="1" ht="22.35" customHeight="1" x14ac:dyDescent="0.3">
      <c r="A11" s="111" t="s">
        <v>79</v>
      </c>
      <c r="B11" s="319"/>
      <c r="C11" s="320"/>
      <c r="D11" s="45" t="s">
        <v>80</v>
      </c>
      <c r="E11" s="321" t="s">
        <v>6</v>
      </c>
      <c r="F11" s="321"/>
      <c r="G11" s="64"/>
      <c r="H11" s="29"/>
      <c r="I11" s="29"/>
      <c r="J11" s="29"/>
      <c r="K11" s="29"/>
      <c r="L11" s="29"/>
      <c r="M11" s="41"/>
      <c r="N11" s="39"/>
      <c r="O11" s="39"/>
      <c r="P11" s="39"/>
      <c r="Q11" s="39"/>
      <c r="R11" s="39"/>
      <c r="S11" s="39"/>
      <c r="T11" s="39"/>
      <c r="U11" s="32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</row>
    <row r="12" spans="1:46" s="44" customFormat="1" ht="22.35" customHeight="1" thickBot="1" x14ac:dyDescent="0.35">
      <c r="A12" s="136" t="s">
        <v>81</v>
      </c>
      <c r="B12" s="322"/>
      <c r="C12" s="323"/>
      <c r="D12" s="137" t="s">
        <v>82</v>
      </c>
      <c r="E12" s="324"/>
      <c r="F12" s="324"/>
      <c r="G12" s="64"/>
      <c r="H12" s="29"/>
      <c r="I12" s="29"/>
      <c r="J12" s="29"/>
      <c r="K12" s="29"/>
      <c r="L12" s="29"/>
      <c r="M12" s="41"/>
      <c r="N12" s="39"/>
      <c r="O12" s="39"/>
      <c r="P12" s="39"/>
      <c r="Q12" s="39"/>
      <c r="R12" s="39"/>
      <c r="S12" s="39"/>
      <c r="T12" s="39"/>
      <c r="U12" s="32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</row>
    <row r="13" spans="1:46" s="44" customFormat="1" ht="22.35" customHeight="1" thickBot="1" x14ac:dyDescent="0.35">
      <c r="A13" s="47" t="s">
        <v>83</v>
      </c>
      <c r="B13" s="48"/>
      <c r="C13" s="48"/>
      <c r="D13" s="48"/>
      <c r="E13" s="48"/>
      <c r="F13" s="49"/>
      <c r="G13" s="64"/>
      <c r="H13" s="29"/>
      <c r="I13" s="29"/>
      <c r="J13" s="29"/>
      <c r="K13" s="29"/>
      <c r="L13" s="29"/>
      <c r="M13" s="41"/>
      <c r="N13" s="39"/>
      <c r="O13" s="39"/>
      <c r="P13" s="39"/>
      <c r="Q13" s="39"/>
      <c r="R13" s="39"/>
      <c r="S13" s="39"/>
      <c r="T13" s="39"/>
      <c r="U13" s="32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</row>
    <row r="14" spans="1:46" s="44" customFormat="1" ht="31.35" customHeight="1" thickBot="1" x14ac:dyDescent="0.35">
      <c r="A14" s="46" t="s">
        <v>84</v>
      </c>
      <c r="B14" s="138">
        <v>2.1339999999999999</v>
      </c>
      <c r="C14" s="46" t="s">
        <v>85</v>
      </c>
      <c r="D14" s="114">
        <f>+D111</f>
        <v>2.5349703486055781</v>
      </c>
      <c r="E14" s="46" t="s">
        <v>86</v>
      </c>
      <c r="F14" s="113">
        <f>+D112</f>
        <v>2.3691311669211008</v>
      </c>
      <c r="G14" s="64"/>
      <c r="H14" s="29"/>
      <c r="I14" s="29"/>
      <c r="J14" s="29"/>
      <c r="K14" s="29"/>
      <c r="L14" s="29"/>
      <c r="M14" s="41"/>
      <c r="N14" s="39"/>
      <c r="O14" s="39"/>
      <c r="P14" s="39"/>
      <c r="Q14" s="39"/>
      <c r="R14" s="39"/>
      <c r="S14" s="39"/>
      <c r="T14" s="39"/>
      <c r="U14" s="32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</row>
    <row r="15" spans="1:46" s="44" customFormat="1" ht="22.35" customHeight="1" thickBot="1" x14ac:dyDescent="0.35">
      <c r="A15" s="47" t="s">
        <v>87</v>
      </c>
      <c r="B15" s="48"/>
      <c r="C15" s="48"/>
      <c r="D15" s="48"/>
      <c r="E15" s="48"/>
      <c r="F15" s="49"/>
      <c r="G15" s="64"/>
      <c r="H15" s="41"/>
      <c r="I15" s="41"/>
      <c r="J15" s="41"/>
      <c r="K15" s="41"/>
      <c r="L15" s="41"/>
      <c r="M15" s="41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</row>
    <row r="16" spans="1:46" s="44" customFormat="1" ht="33" customHeight="1" thickBot="1" x14ac:dyDescent="0.35">
      <c r="A16" s="50" t="s">
        <v>88</v>
      </c>
      <c r="B16" s="50" t="s">
        <v>89</v>
      </c>
      <c r="C16" s="17">
        <v>14.9</v>
      </c>
      <c r="D16" s="50" t="s">
        <v>90</v>
      </c>
      <c r="E16" s="50" t="s">
        <v>89</v>
      </c>
      <c r="F16" s="18">
        <v>9.8000000000000007</v>
      </c>
      <c r="G16" s="64"/>
      <c r="H16" s="110" t="s">
        <v>91</v>
      </c>
      <c r="I16" s="110"/>
      <c r="J16" s="110"/>
      <c r="K16" s="110"/>
      <c r="L16" s="110"/>
      <c r="M16" s="41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</row>
    <row r="17" spans="1:46" s="44" customFormat="1" ht="22.35" customHeight="1" thickBot="1" x14ac:dyDescent="0.35">
      <c r="A17" s="47" t="s">
        <v>92</v>
      </c>
      <c r="B17" s="51"/>
      <c r="C17" s="51"/>
      <c r="D17" s="52"/>
      <c r="E17" s="306">
        <f>+IF(E43&gt;0,SUM(A18:F30)-E43,SUM(A18:F30))</f>
        <v>765.70000000000016</v>
      </c>
      <c r="F17" s="307"/>
      <c r="G17" s="64">
        <v>1</v>
      </c>
      <c r="H17" s="29" t="s">
        <v>93</v>
      </c>
      <c r="I17" s="29"/>
      <c r="J17" s="29"/>
      <c r="K17" s="29"/>
      <c r="L17" s="29"/>
      <c r="M17" s="41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</row>
    <row r="18" spans="1:46" s="44" customFormat="1" ht="22.35" customHeight="1" x14ac:dyDescent="0.3">
      <c r="A18" s="17">
        <v>22.7</v>
      </c>
      <c r="B18" s="17">
        <v>23.7</v>
      </c>
      <c r="C18" s="17">
        <v>25.5</v>
      </c>
      <c r="D18" s="17"/>
      <c r="E18" s="13"/>
      <c r="F18" s="13"/>
      <c r="G18" s="64">
        <v>2</v>
      </c>
      <c r="H18" s="29" t="s">
        <v>94</v>
      </c>
      <c r="I18" s="29"/>
      <c r="J18" s="29"/>
      <c r="K18" s="29"/>
      <c r="L18" s="29"/>
      <c r="M18" s="41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</row>
    <row r="19" spans="1:46" s="44" customFormat="1" ht="22.35" customHeight="1" x14ac:dyDescent="0.3">
      <c r="A19" s="17">
        <v>27</v>
      </c>
      <c r="B19" s="19">
        <v>29.1</v>
      </c>
      <c r="C19" s="19">
        <v>26.1</v>
      </c>
      <c r="D19" s="19"/>
      <c r="E19" s="14"/>
      <c r="F19" s="14"/>
      <c r="G19" s="64">
        <v>3</v>
      </c>
      <c r="H19" s="29" t="s">
        <v>95</v>
      </c>
      <c r="I19" s="29"/>
      <c r="J19" s="29"/>
      <c r="K19" s="29"/>
      <c r="L19" s="29"/>
      <c r="M19" s="41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</row>
    <row r="20" spans="1:46" s="44" customFormat="1" ht="22.35" customHeight="1" x14ac:dyDescent="0.3">
      <c r="A20" s="19">
        <v>26</v>
      </c>
      <c r="B20" s="19">
        <v>22.8</v>
      </c>
      <c r="C20" s="19">
        <v>23.5</v>
      </c>
      <c r="D20" s="19"/>
      <c r="E20" s="14"/>
      <c r="F20" s="14"/>
      <c r="G20" s="64">
        <v>4</v>
      </c>
      <c r="H20" s="29" t="s">
        <v>96</v>
      </c>
      <c r="I20" s="29"/>
      <c r="J20" s="29"/>
      <c r="K20" s="29"/>
      <c r="L20" s="29"/>
      <c r="M20" s="41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</row>
    <row r="21" spans="1:46" s="44" customFormat="1" ht="22.35" customHeight="1" x14ac:dyDescent="0.3">
      <c r="A21" s="19">
        <v>23.9</v>
      </c>
      <c r="B21" s="19">
        <v>24.7</v>
      </c>
      <c r="C21" s="19">
        <v>22.1</v>
      </c>
      <c r="D21" s="19"/>
      <c r="E21" s="14"/>
      <c r="F21" s="14"/>
      <c r="G21" s="64">
        <v>5</v>
      </c>
      <c r="H21" s="29" t="s">
        <v>97</v>
      </c>
      <c r="I21" s="29"/>
      <c r="J21" s="29"/>
      <c r="K21" s="29"/>
      <c r="L21" s="29"/>
      <c r="M21" s="41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</row>
    <row r="22" spans="1:46" s="44" customFormat="1" ht="22.35" customHeight="1" x14ac:dyDescent="0.3">
      <c r="A22" s="20">
        <v>23.6</v>
      </c>
      <c r="B22" s="19">
        <v>26.8</v>
      </c>
      <c r="C22" s="19">
        <v>23.5</v>
      </c>
      <c r="D22" s="19"/>
      <c r="E22" s="14"/>
      <c r="F22" s="14"/>
      <c r="G22" s="64">
        <v>6</v>
      </c>
      <c r="H22" s="29" t="s">
        <v>98</v>
      </c>
      <c r="I22" s="29"/>
      <c r="J22" s="29"/>
      <c r="K22" s="29"/>
      <c r="L22" s="29"/>
      <c r="M22" s="41"/>
      <c r="N22" s="39"/>
      <c r="O22" s="39"/>
      <c r="P22" s="39"/>
      <c r="Q22" s="53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</row>
    <row r="23" spans="1:46" s="44" customFormat="1" ht="22.35" customHeight="1" x14ac:dyDescent="0.3">
      <c r="A23" s="19">
        <v>25.2</v>
      </c>
      <c r="B23" s="19">
        <v>25.8</v>
      </c>
      <c r="C23" s="19">
        <v>1.9</v>
      </c>
      <c r="D23" s="19"/>
      <c r="E23" s="15"/>
      <c r="F23" s="14"/>
      <c r="G23" s="64">
        <v>7</v>
      </c>
      <c r="H23" s="29" t="s">
        <v>99</v>
      </c>
      <c r="I23" s="29"/>
      <c r="J23" s="29"/>
      <c r="K23" s="29"/>
      <c r="L23" s="29"/>
      <c r="M23" s="41"/>
      <c r="N23" s="39"/>
      <c r="O23" s="39"/>
      <c r="P23" s="39"/>
      <c r="Q23" s="39"/>
      <c r="R23" s="53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</row>
    <row r="24" spans="1:46" s="44" customFormat="1" ht="22.35" customHeight="1" x14ac:dyDescent="0.3">
      <c r="A24" s="18">
        <v>24</v>
      </c>
      <c r="B24" s="18">
        <v>22.8</v>
      </c>
      <c r="C24" s="18"/>
      <c r="D24" s="18"/>
      <c r="E24" s="15"/>
      <c r="F24" s="15"/>
      <c r="G24" s="64">
        <v>8</v>
      </c>
      <c r="H24" s="29" t="s">
        <v>100</v>
      </c>
      <c r="I24" s="29"/>
      <c r="J24" s="29"/>
      <c r="K24" s="29"/>
      <c r="L24" s="29"/>
      <c r="M24" s="41"/>
      <c r="N24" s="39"/>
      <c r="O24" s="39"/>
      <c r="P24" s="39"/>
      <c r="Q24" s="39"/>
      <c r="R24" s="53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</row>
    <row r="25" spans="1:46" s="44" customFormat="1" ht="22.35" customHeight="1" x14ac:dyDescent="0.3">
      <c r="A25" s="18">
        <v>21.8</v>
      </c>
      <c r="B25" s="18">
        <v>22.1</v>
      </c>
      <c r="C25" s="18"/>
      <c r="D25" s="18"/>
      <c r="E25" s="15"/>
      <c r="F25" s="15"/>
      <c r="G25" s="64">
        <v>9</v>
      </c>
      <c r="H25" s="29" t="s">
        <v>101</v>
      </c>
      <c r="I25" s="29"/>
      <c r="J25" s="29"/>
      <c r="K25" s="29"/>
      <c r="L25" s="29"/>
      <c r="M25" s="41"/>
      <c r="N25" s="39"/>
      <c r="O25" s="39"/>
      <c r="P25" s="39"/>
      <c r="Q25" s="39"/>
      <c r="R25" s="53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</row>
    <row r="26" spans="1:46" s="44" customFormat="1" ht="22.35" customHeight="1" x14ac:dyDescent="0.3">
      <c r="A26" s="18">
        <v>25.7</v>
      </c>
      <c r="B26" s="18">
        <v>23.6</v>
      </c>
      <c r="C26" s="18"/>
      <c r="D26" s="18"/>
      <c r="E26" s="15"/>
      <c r="F26" s="15"/>
      <c r="G26" s="64">
        <v>10</v>
      </c>
      <c r="H26" s="29" t="s">
        <v>102</v>
      </c>
      <c r="I26" s="29"/>
      <c r="J26" s="29"/>
      <c r="K26" s="29"/>
      <c r="L26" s="29"/>
      <c r="M26" s="41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</row>
    <row r="27" spans="1:46" s="44" customFormat="1" ht="22.35" customHeight="1" x14ac:dyDescent="0.3">
      <c r="A27" s="18">
        <v>26.9</v>
      </c>
      <c r="B27" s="18">
        <v>22.1</v>
      </c>
      <c r="C27" s="18"/>
      <c r="D27" s="18"/>
      <c r="E27" s="15"/>
      <c r="F27" s="15"/>
      <c r="G27" s="64">
        <v>11</v>
      </c>
      <c r="H27" s="29" t="s">
        <v>103</v>
      </c>
      <c r="I27" s="29"/>
      <c r="J27" s="29"/>
      <c r="K27" s="29"/>
      <c r="L27" s="29"/>
      <c r="M27" s="41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</row>
    <row r="28" spans="1:46" s="44" customFormat="1" ht="22.35" customHeight="1" x14ac:dyDescent="0.3">
      <c r="A28" s="18">
        <v>24.7</v>
      </c>
      <c r="B28" s="18">
        <v>24</v>
      </c>
      <c r="C28" s="18"/>
      <c r="D28" s="18"/>
      <c r="E28" s="15"/>
      <c r="F28" s="15"/>
      <c r="G28" s="64">
        <v>12</v>
      </c>
      <c r="H28" s="29" t="s">
        <v>104</v>
      </c>
      <c r="I28" s="29"/>
      <c r="J28" s="29"/>
      <c r="K28" s="29"/>
      <c r="L28" s="29"/>
      <c r="M28" s="41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</row>
    <row r="29" spans="1:46" s="44" customFormat="1" ht="22.35" customHeight="1" x14ac:dyDescent="0.3">
      <c r="A29" s="18">
        <v>26.6</v>
      </c>
      <c r="B29" s="18">
        <v>25.9</v>
      </c>
      <c r="C29" s="18"/>
      <c r="D29" s="18"/>
      <c r="E29" s="15"/>
      <c r="F29" s="15"/>
      <c r="G29" s="64">
        <v>13</v>
      </c>
      <c r="H29" s="29" t="s">
        <v>105</v>
      </c>
      <c r="I29" s="29"/>
      <c r="J29" s="29"/>
      <c r="K29" s="29"/>
      <c r="L29" s="29"/>
      <c r="M29" s="41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</row>
    <row r="30" spans="1:46" s="44" customFormat="1" ht="22.35" customHeight="1" thickBot="1" x14ac:dyDescent="0.35">
      <c r="A30" s="18">
        <v>27.1</v>
      </c>
      <c r="B30" s="18">
        <v>24.5</v>
      </c>
      <c r="C30" s="18"/>
      <c r="D30" s="18"/>
      <c r="E30" s="15"/>
      <c r="F30" s="15"/>
      <c r="G30" s="64">
        <v>14</v>
      </c>
      <c r="H30" s="29" t="s">
        <v>106</v>
      </c>
      <c r="I30" s="29"/>
      <c r="J30" s="29"/>
      <c r="K30" s="29"/>
      <c r="L30" s="29"/>
      <c r="M30" s="41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</row>
    <row r="31" spans="1:46" s="44" customFormat="1" ht="25.35" customHeight="1" thickBot="1" x14ac:dyDescent="0.35">
      <c r="A31" s="47" t="s">
        <v>107</v>
      </c>
      <c r="B31" s="51"/>
      <c r="C31" s="54"/>
      <c r="D31" s="48"/>
      <c r="E31" s="306">
        <f>+IFERROR(IF(D43&gt;0,SUM(A32:F42)-D43,SUM(A32:F42)),"-")</f>
        <v>306.3</v>
      </c>
      <c r="F31" s="307"/>
      <c r="G31" s="64">
        <v>15</v>
      </c>
      <c r="H31" s="29" t="s">
        <v>108</v>
      </c>
      <c r="I31" s="29"/>
      <c r="J31" s="29"/>
      <c r="K31" s="29"/>
      <c r="L31" s="29"/>
      <c r="M31" s="41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</row>
    <row r="32" spans="1:46" s="44" customFormat="1" ht="22.35" customHeight="1" x14ac:dyDescent="0.3">
      <c r="A32" s="17">
        <v>16</v>
      </c>
      <c r="B32" s="17">
        <v>16.5</v>
      </c>
      <c r="C32" s="17"/>
      <c r="D32" s="17"/>
      <c r="E32" s="13"/>
      <c r="F32" s="13"/>
      <c r="G32" s="64">
        <v>16</v>
      </c>
      <c r="H32" s="29" t="s">
        <v>109</v>
      </c>
      <c r="I32" s="29"/>
      <c r="J32" s="29"/>
      <c r="K32" s="29"/>
      <c r="L32" s="29"/>
      <c r="M32" s="41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</row>
    <row r="33" spans="1:46" s="44" customFormat="1" ht="22.35" customHeight="1" x14ac:dyDescent="0.3">
      <c r="A33" s="19">
        <v>15.3</v>
      </c>
      <c r="B33" s="19">
        <v>15.6</v>
      </c>
      <c r="C33" s="19"/>
      <c r="D33" s="19"/>
      <c r="E33" s="13"/>
      <c r="F33" s="13"/>
      <c r="G33" s="64">
        <v>17</v>
      </c>
      <c r="H33" s="29" t="s">
        <v>110</v>
      </c>
      <c r="I33" s="29"/>
      <c r="J33" s="29"/>
      <c r="K33" s="29"/>
      <c r="L33" s="29"/>
      <c r="M33" s="41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</row>
    <row r="34" spans="1:46" s="44" customFormat="1" ht="22.35" customHeight="1" x14ac:dyDescent="0.3">
      <c r="A34" s="19">
        <v>15.9</v>
      </c>
      <c r="B34" s="19">
        <v>16.100000000000001</v>
      </c>
      <c r="C34" s="17"/>
      <c r="D34" s="19"/>
      <c r="E34" s="13"/>
      <c r="F34" s="13"/>
      <c r="G34" s="64">
        <v>18</v>
      </c>
      <c r="H34" s="29" t="s">
        <v>111</v>
      </c>
      <c r="I34" s="29"/>
      <c r="J34" s="29"/>
      <c r="K34" s="29"/>
      <c r="L34" s="29"/>
      <c r="M34" s="41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</row>
    <row r="35" spans="1:46" s="44" customFormat="1" ht="22.35" customHeight="1" x14ac:dyDescent="0.3">
      <c r="A35" s="19">
        <v>17.5</v>
      </c>
      <c r="B35" s="19">
        <v>16.2</v>
      </c>
      <c r="C35" s="19"/>
      <c r="D35" s="19"/>
      <c r="E35" s="13"/>
      <c r="F35" s="13"/>
      <c r="G35" s="64">
        <v>19</v>
      </c>
      <c r="H35" s="29"/>
      <c r="I35" s="29"/>
      <c r="J35" s="29"/>
      <c r="K35" s="29"/>
      <c r="L35" s="29"/>
      <c r="M35" s="41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</row>
    <row r="36" spans="1:46" s="44" customFormat="1" ht="22.35" customHeight="1" x14ac:dyDescent="0.3">
      <c r="A36" s="19">
        <v>15.3</v>
      </c>
      <c r="B36" s="19">
        <v>15.8</v>
      </c>
      <c r="C36" s="19"/>
      <c r="D36" s="19"/>
      <c r="E36" s="13"/>
      <c r="F36" s="13"/>
      <c r="G36" s="64">
        <v>20</v>
      </c>
      <c r="H36" s="29"/>
      <c r="I36" s="29"/>
      <c r="J36" s="29"/>
      <c r="K36" s="29"/>
      <c r="L36" s="29"/>
      <c r="M36" s="41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</row>
    <row r="37" spans="1:46" s="44" customFormat="1" ht="22.35" customHeight="1" x14ac:dyDescent="0.3">
      <c r="A37" s="19">
        <v>17.3</v>
      </c>
      <c r="B37" s="19">
        <v>16.5</v>
      </c>
      <c r="C37" s="19"/>
      <c r="D37" s="19"/>
      <c r="E37" s="13"/>
      <c r="F37" s="13"/>
      <c r="G37" s="64"/>
      <c r="H37" s="41"/>
      <c r="I37" s="41"/>
      <c r="J37" s="41"/>
      <c r="K37" s="41"/>
      <c r="L37" s="41"/>
      <c r="M37" s="41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</row>
    <row r="38" spans="1:46" s="44" customFormat="1" ht="22.35" customHeight="1" x14ac:dyDescent="0.3">
      <c r="A38" s="19">
        <v>15.4</v>
      </c>
      <c r="B38" s="19">
        <v>15.5</v>
      </c>
      <c r="C38" s="19"/>
      <c r="D38" s="19"/>
      <c r="E38" s="13"/>
      <c r="F38" s="13"/>
      <c r="G38" s="64"/>
      <c r="H38" s="41"/>
      <c r="I38" s="41"/>
      <c r="J38" s="41"/>
      <c r="K38" s="41"/>
      <c r="L38" s="41"/>
      <c r="M38" s="41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</row>
    <row r="39" spans="1:46" s="44" customFormat="1" ht="22.35" customHeight="1" x14ac:dyDescent="0.3">
      <c r="A39" s="19">
        <v>16.2</v>
      </c>
      <c r="B39" s="19">
        <v>17.7</v>
      </c>
      <c r="C39" s="19"/>
      <c r="D39" s="19"/>
      <c r="E39" s="13"/>
      <c r="F39" s="13"/>
      <c r="G39" s="64"/>
      <c r="H39" s="41"/>
      <c r="I39" s="41"/>
      <c r="J39" s="41"/>
      <c r="K39" s="41"/>
      <c r="L39" s="41"/>
      <c r="M39" s="41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</row>
    <row r="40" spans="1:46" s="44" customFormat="1" ht="22.35" customHeight="1" x14ac:dyDescent="0.3">
      <c r="A40" s="19">
        <v>15.1</v>
      </c>
      <c r="B40" s="19"/>
      <c r="C40" s="19"/>
      <c r="D40" s="19"/>
      <c r="E40" s="13"/>
      <c r="F40" s="13"/>
      <c r="G40" s="64"/>
      <c r="H40" s="41"/>
      <c r="I40" s="41"/>
      <c r="J40" s="41"/>
      <c r="K40" s="41"/>
      <c r="L40" s="41"/>
      <c r="M40" s="41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</row>
    <row r="41" spans="1:46" s="44" customFormat="1" ht="22.35" customHeight="1" x14ac:dyDescent="0.3">
      <c r="A41" s="19">
        <v>16.2</v>
      </c>
      <c r="B41" s="19"/>
      <c r="C41" s="19"/>
      <c r="D41" s="19"/>
      <c r="E41" s="13"/>
      <c r="F41" s="13"/>
      <c r="G41" s="64"/>
      <c r="H41" s="41"/>
      <c r="I41" s="41"/>
      <c r="J41" s="41"/>
      <c r="K41" s="41"/>
      <c r="L41" s="41"/>
      <c r="M41" s="41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</row>
    <row r="42" spans="1:46" s="44" customFormat="1" ht="22.35" customHeight="1" thickBot="1" x14ac:dyDescent="0.35">
      <c r="A42" s="18">
        <v>16.2</v>
      </c>
      <c r="B42" s="18"/>
      <c r="C42" s="18"/>
      <c r="D42" s="18"/>
      <c r="E42" s="16"/>
      <c r="F42" s="16"/>
      <c r="G42" s="64"/>
      <c r="H42" s="41"/>
      <c r="I42" s="41"/>
      <c r="J42" s="41"/>
      <c r="K42" s="41"/>
      <c r="L42" s="41"/>
      <c r="M42" s="41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</row>
    <row r="43" spans="1:46" s="44" customFormat="1" ht="32.85" customHeight="1" thickBot="1" x14ac:dyDescent="0.35">
      <c r="A43" s="47" t="s">
        <v>112</v>
      </c>
      <c r="B43" s="6"/>
      <c r="C43" s="47" t="s">
        <v>113</v>
      </c>
      <c r="D43" s="112" t="str">
        <f>+IF(E43=0,"0",(E43/B43)*1000)</f>
        <v>0</v>
      </c>
      <c r="E43" s="325">
        <f>+SUM(A44:F47)</f>
        <v>0</v>
      </c>
      <c r="F43" s="307"/>
      <c r="G43" s="64"/>
      <c r="H43" s="41"/>
      <c r="I43" s="41"/>
      <c r="J43" s="41"/>
      <c r="K43" s="41"/>
      <c r="L43" s="41"/>
      <c r="M43" s="41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</row>
    <row r="44" spans="1:46" s="44" customFormat="1" ht="22.35" customHeight="1" x14ac:dyDescent="0.3">
      <c r="A44" s="4"/>
      <c r="B44" s="1"/>
      <c r="C44" s="1"/>
      <c r="D44" s="1"/>
      <c r="E44" s="2"/>
      <c r="F44" s="2"/>
      <c r="G44" s="64"/>
      <c r="H44" s="41"/>
      <c r="I44" s="41"/>
      <c r="J44" s="41"/>
      <c r="K44" s="41"/>
      <c r="L44" s="41"/>
      <c r="M44" s="41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</row>
    <row r="45" spans="1:46" s="44" customFormat="1" ht="22.35" customHeight="1" x14ac:dyDescent="0.3">
      <c r="A45" s="5"/>
      <c r="B45" s="3"/>
      <c r="C45" s="3"/>
      <c r="D45" s="3"/>
      <c r="E45" s="2"/>
      <c r="F45" s="2"/>
      <c r="G45" s="64"/>
      <c r="H45" s="41"/>
      <c r="I45" s="41"/>
      <c r="J45" s="41"/>
      <c r="K45" s="41"/>
      <c r="L45" s="41"/>
      <c r="M45" s="41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</row>
    <row r="46" spans="1:46" s="44" customFormat="1" ht="22.35" customHeight="1" x14ac:dyDescent="0.3">
      <c r="A46" s="3"/>
      <c r="B46" s="3"/>
      <c r="C46" s="3"/>
      <c r="D46" s="3"/>
      <c r="E46" s="2"/>
      <c r="F46" s="2"/>
      <c r="G46" s="64"/>
      <c r="H46" s="41"/>
      <c r="I46" s="41"/>
      <c r="J46" s="41"/>
      <c r="K46" s="41"/>
      <c r="L46" s="41"/>
      <c r="M46" s="41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</row>
    <row r="47" spans="1:46" s="44" customFormat="1" ht="22.35" customHeight="1" thickBot="1" x14ac:dyDescent="0.35">
      <c r="A47" s="3"/>
      <c r="B47" s="3"/>
      <c r="C47" s="3"/>
      <c r="D47" s="3"/>
      <c r="E47" s="2"/>
      <c r="F47" s="2"/>
      <c r="G47" s="64"/>
      <c r="H47" s="41"/>
      <c r="I47" s="41"/>
      <c r="J47" s="41"/>
      <c r="K47" s="41"/>
      <c r="L47" s="41"/>
      <c r="M47" s="41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</row>
    <row r="48" spans="1:46" s="44" customFormat="1" ht="30" customHeight="1" thickBot="1" x14ac:dyDescent="0.35">
      <c r="A48" s="47" t="s">
        <v>114</v>
      </c>
      <c r="B48" s="48"/>
      <c r="C48" s="48"/>
      <c r="D48" s="55"/>
      <c r="E48" s="314">
        <v>7</v>
      </c>
      <c r="F48" s="315"/>
      <c r="G48" s="64"/>
      <c r="H48" s="41"/>
      <c r="I48" s="41"/>
      <c r="J48" s="41"/>
      <c r="K48" s="41"/>
      <c r="L48" s="41"/>
      <c r="M48" s="41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</row>
    <row r="49" spans="1:46" s="44" customFormat="1" ht="24" customHeight="1" thickBot="1" x14ac:dyDescent="0.35">
      <c r="A49" s="47" t="s">
        <v>115</v>
      </c>
      <c r="B49" s="48"/>
      <c r="C49" s="48"/>
      <c r="D49" s="55"/>
      <c r="E49" s="306">
        <f>+IFERROR(AVERAGE(D56:E56),"-")</f>
        <v>-461.67500000000001</v>
      </c>
      <c r="F49" s="307"/>
      <c r="G49" s="64"/>
      <c r="H49" s="41"/>
      <c r="I49" s="41"/>
      <c r="J49" s="41"/>
      <c r="K49" s="41"/>
      <c r="L49" s="41"/>
      <c r="M49" s="41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</row>
    <row r="50" spans="1:46" s="44" customFormat="1" ht="22.35" customHeight="1" x14ac:dyDescent="0.3">
      <c r="A50" s="56" t="s">
        <v>29</v>
      </c>
      <c r="B50" s="50"/>
      <c r="C50" s="57" t="s">
        <v>30</v>
      </c>
      <c r="D50" s="9" t="s">
        <v>116</v>
      </c>
      <c r="E50" s="10" t="s">
        <v>117</v>
      </c>
      <c r="F50" s="7"/>
      <c r="G50" s="64"/>
      <c r="H50" s="41"/>
      <c r="I50" s="41"/>
      <c r="J50" s="41"/>
      <c r="K50" s="41"/>
      <c r="L50" s="41"/>
      <c r="M50" s="41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</row>
    <row r="51" spans="1:46" s="44" customFormat="1" ht="22.35" customHeight="1" x14ac:dyDescent="0.3">
      <c r="A51" s="58" t="s">
        <v>118</v>
      </c>
      <c r="B51" s="59"/>
      <c r="C51" s="57" t="s">
        <v>119</v>
      </c>
      <c r="D51" s="11">
        <v>7665</v>
      </c>
      <c r="E51" s="12">
        <v>6805</v>
      </c>
      <c r="F51" s="8"/>
      <c r="G51" s="64"/>
      <c r="H51" s="41"/>
      <c r="I51" s="41"/>
      <c r="J51" s="41"/>
      <c r="K51" s="41"/>
      <c r="L51" s="41"/>
      <c r="M51" s="41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</row>
    <row r="52" spans="1:46" s="44" customFormat="1" ht="22.35" customHeight="1" x14ac:dyDescent="0.3">
      <c r="A52" s="58" t="s">
        <v>120</v>
      </c>
      <c r="B52" s="59"/>
      <c r="C52" s="57" t="s">
        <v>119</v>
      </c>
      <c r="D52" s="11"/>
      <c r="E52" s="12"/>
      <c r="F52" s="8"/>
      <c r="G52" s="64"/>
      <c r="H52" s="41"/>
      <c r="I52" s="41"/>
      <c r="J52" s="41"/>
      <c r="K52" s="41"/>
      <c r="L52" s="41"/>
      <c r="M52" s="41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</row>
    <row r="53" spans="1:46" s="44" customFormat="1" ht="22.35" customHeight="1" x14ac:dyDescent="0.3">
      <c r="A53" s="56" t="s">
        <v>121</v>
      </c>
      <c r="B53" s="50"/>
      <c r="C53" s="57" t="s">
        <v>119</v>
      </c>
      <c r="D53" s="11">
        <v>1544</v>
      </c>
      <c r="E53" s="12">
        <v>1594</v>
      </c>
      <c r="F53" s="8"/>
      <c r="G53" s="64"/>
      <c r="H53" s="41"/>
      <c r="I53" s="41"/>
      <c r="J53" s="41"/>
      <c r="K53" s="41"/>
      <c r="L53" s="41"/>
      <c r="M53" s="41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</row>
    <row r="54" spans="1:46" s="44" customFormat="1" ht="22.35" hidden="1" customHeight="1" x14ac:dyDescent="0.3">
      <c r="A54" s="58" t="s">
        <v>88</v>
      </c>
      <c r="B54" s="59"/>
      <c r="C54" s="57" t="s">
        <v>119</v>
      </c>
      <c r="D54" s="107">
        <f>+D51-D52</f>
        <v>7665</v>
      </c>
      <c r="E54" s="107">
        <f>+E51-E52</f>
        <v>6805</v>
      </c>
      <c r="F54" s="8"/>
      <c r="G54" s="64"/>
      <c r="H54" s="41"/>
      <c r="I54" s="41"/>
      <c r="J54" s="41"/>
      <c r="K54" s="41"/>
      <c r="L54" s="41"/>
      <c r="M54" s="41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</row>
    <row r="55" spans="1:46" s="44" customFormat="1" ht="22.35" hidden="1" customHeight="1" x14ac:dyDescent="0.3">
      <c r="A55" s="56" t="s">
        <v>122</v>
      </c>
      <c r="B55" s="50"/>
      <c r="C55" s="57" t="s">
        <v>36</v>
      </c>
      <c r="D55" s="107">
        <f>+D52-D53</f>
        <v>-1544</v>
      </c>
      <c r="E55" s="107">
        <f>+E52-E53</f>
        <v>-1594</v>
      </c>
      <c r="F55" s="8"/>
      <c r="G55" s="64"/>
      <c r="H55" s="41"/>
      <c r="I55" s="41"/>
      <c r="J55" s="41"/>
      <c r="K55" s="41"/>
      <c r="L55" s="41"/>
      <c r="M55" s="41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</row>
    <row r="56" spans="1:46" s="44" customFormat="1" ht="22.35" customHeight="1" x14ac:dyDescent="0.3">
      <c r="A56" s="60" t="s">
        <v>35</v>
      </c>
      <c r="B56" s="61"/>
      <c r="C56" s="62" t="s">
        <v>36</v>
      </c>
      <c r="D56" s="108">
        <f>+IFERROR(ROUND(D54/D55*100,2),"-")</f>
        <v>-496.44</v>
      </c>
      <c r="E56" s="109">
        <f>+IFERROR(ROUND(E54/E55*100,2),"-")</f>
        <v>-426.91</v>
      </c>
      <c r="F56" s="8"/>
      <c r="G56" s="64"/>
      <c r="H56" s="41"/>
      <c r="I56" s="41"/>
      <c r="J56" s="41"/>
      <c r="K56" s="41"/>
      <c r="L56" s="41"/>
      <c r="M56" s="41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</row>
    <row r="57" spans="1:46" s="32" customFormat="1" ht="17.399999999999999" x14ac:dyDescent="0.3">
      <c r="A57" s="63"/>
      <c r="B57" s="64"/>
      <c r="C57" s="64"/>
      <c r="D57" s="64"/>
      <c r="E57" s="64"/>
      <c r="F57" s="30"/>
      <c r="G57" s="64"/>
      <c r="H57" s="30"/>
      <c r="I57" s="30"/>
      <c r="J57" s="30"/>
      <c r="K57" s="30"/>
      <c r="L57" s="30"/>
      <c r="M57" s="30"/>
      <c r="N57" s="39"/>
      <c r="O57" s="39"/>
      <c r="P57" s="39"/>
      <c r="Q57" s="39"/>
      <c r="R57" s="39"/>
      <c r="S57" s="39"/>
      <c r="T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</row>
    <row r="58" spans="1:46" s="66" customFormat="1" ht="16.350000000000001" customHeight="1" x14ac:dyDescent="0.3">
      <c r="A58" s="65"/>
      <c r="B58" s="65"/>
      <c r="C58" s="65"/>
      <c r="D58" s="65"/>
      <c r="E58" s="65"/>
      <c r="F58" s="65"/>
      <c r="G58" s="129"/>
      <c r="H58" s="65"/>
      <c r="I58" s="65"/>
      <c r="J58" s="65"/>
      <c r="K58" s="65"/>
      <c r="L58" s="65"/>
      <c r="M58" s="65"/>
      <c r="N58" s="39"/>
      <c r="O58" s="39"/>
      <c r="P58" s="39"/>
      <c r="Q58" s="39"/>
      <c r="R58" s="39"/>
      <c r="S58" s="39"/>
      <c r="T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</row>
    <row r="59" spans="1:46" s="66" customFormat="1" ht="16.350000000000001" customHeight="1" x14ac:dyDescent="0.3">
      <c r="A59" s="65"/>
      <c r="B59" s="65"/>
      <c r="C59" s="65"/>
      <c r="D59" s="65"/>
      <c r="E59" s="65"/>
      <c r="F59" s="65"/>
      <c r="G59" s="129"/>
      <c r="H59" s="65"/>
      <c r="I59" s="65"/>
      <c r="J59" s="65"/>
      <c r="K59" s="65"/>
      <c r="L59" s="65"/>
      <c r="M59" s="65"/>
      <c r="N59" s="39"/>
      <c r="O59" s="39"/>
      <c r="P59" s="39"/>
      <c r="Q59" s="39"/>
      <c r="R59" s="39"/>
      <c r="S59" s="39"/>
      <c r="T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</row>
    <row r="60" spans="1:46" s="66" customFormat="1" ht="16.350000000000001" customHeight="1" x14ac:dyDescent="0.3">
      <c r="A60" s="65"/>
      <c r="B60" s="65"/>
      <c r="C60" s="65"/>
      <c r="D60" s="65"/>
      <c r="E60" s="65"/>
      <c r="F60" s="65"/>
      <c r="G60" s="129"/>
      <c r="H60" s="65"/>
      <c r="I60" s="65"/>
      <c r="J60" s="65"/>
      <c r="K60" s="65"/>
      <c r="L60" s="65"/>
      <c r="M60" s="65"/>
      <c r="N60" s="39"/>
      <c r="O60" s="39"/>
      <c r="P60" s="39"/>
      <c r="Q60" s="39"/>
      <c r="R60" s="39"/>
      <c r="S60" s="39"/>
      <c r="T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</row>
    <row r="61" spans="1:46" s="66" customFormat="1" ht="16.350000000000001" customHeight="1" x14ac:dyDescent="0.3">
      <c r="G61" s="130"/>
      <c r="AK61" s="39"/>
      <c r="AL61" s="39"/>
      <c r="AM61" s="39"/>
      <c r="AN61" s="39"/>
      <c r="AO61" s="39"/>
      <c r="AP61" s="39"/>
      <c r="AQ61" s="39"/>
      <c r="AR61" s="39"/>
      <c r="AS61" s="39"/>
      <c r="AT61" s="39"/>
    </row>
    <row r="62" spans="1:46" s="66" customFormat="1" ht="16.350000000000001" customHeight="1" x14ac:dyDescent="0.3">
      <c r="G62" s="130"/>
      <c r="AK62" s="39"/>
      <c r="AL62" s="39"/>
      <c r="AM62" s="39"/>
      <c r="AN62" s="39"/>
      <c r="AO62" s="39"/>
      <c r="AP62" s="39"/>
      <c r="AQ62" s="39"/>
      <c r="AR62" s="39"/>
      <c r="AS62" s="39"/>
      <c r="AT62" s="39"/>
    </row>
    <row r="63" spans="1:46" s="118" customFormat="1" ht="43.35" customHeight="1" x14ac:dyDescent="0.3">
      <c r="A63" s="115" t="s">
        <v>123</v>
      </c>
      <c r="B63" s="115" t="s">
        <v>124</v>
      </c>
      <c r="C63" s="115" t="s">
        <v>125</v>
      </c>
      <c r="D63" s="115" t="s">
        <v>126</v>
      </c>
      <c r="E63" s="115" t="s">
        <v>127</v>
      </c>
      <c r="F63" s="115" t="s">
        <v>128</v>
      </c>
      <c r="G63" s="131" t="s">
        <v>129</v>
      </c>
      <c r="H63" s="115" t="s">
        <v>130</v>
      </c>
      <c r="I63" s="115" t="s">
        <v>131</v>
      </c>
      <c r="J63" s="115" t="s">
        <v>132</v>
      </c>
      <c r="K63" s="115" t="s">
        <v>133</v>
      </c>
      <c r="L63" s="116" t="s">
        <v>134</v>
      </c>
      <c r="M63" s="117" t="s">
        <v>135</v>
      </c>
      <c r="N63" s="117" t="s">
        <v>136</v>
      </c>
      <c r="O63" s="117" t="s">
        <v>137</v>
      </c>
      <c r="P63" s="117" t="s">
        <v>138</v>
      </c>
      <c r="Q63" s="117" t="s">
        <v>139</v>
      </c>
      <c r="R63" s="117" t="s">
        <v>140</v>
      </c>
      <c r="S63" s="117" t="s">
        <v>141</v>
      </c>
      <c r="T63" s="117" t="s">
        <v>84</v>
      </c>
      <c r="U63" s="117" t="s">
        <v>142</v>
      </c>
      <c r="V63" s="117" t="s">
        <v>29</v>
      </c>
      <c r="W63" s="117" t="s">
        <v>143</v>
      </c>
      <c r="X63" s="117" t="s">
        <v>144</v>
      </c>
      <c r="Y63" s="117" t="s">
        <v>145</v>
      </c>
      <c r="Z63" s="117" t="s">
        <v>29</v>
      </c>
      <c r="AA63" s="117" t="s">
        <v>143</v>
      </c>
      <c r="AB63" s="117" t="s">
        <v>144</v>
      </c>
      <c r="AC63" s="117" t="s">
        <v>145</v>
      </c>
      <c r="AD63" s="117" t="s">
        <v>146</v>
      </c>
      <c r="AE63" s="117" t="s">
        <v>147</v>
      </c>
      <c r="AF63" s="117" t="s">
        <v>148</v>
      </c>
      <c r="AG63" s="117" t="s">
        <v>149</v>
      </c>
      <c r="AH63" s="117" t="s">
        <v>150</v>
      </c>
      <c r="AI63" s="117" t="s">
        <v>151</v>
      </c>
      <c r="AJ63" s="117" t="s">
        <v>152</v>
      </c>
      <c r="AK63" s="39"/>
      <c r="AL63" s="39"/>
      <c r="AM63" s="39"/>
      <c r="AN63" s="39"/>
      <c r="AO63" s="39"/>
      <c r="AP63" s="39"/>
      <c r="AQ63" s="39"/>
      <c r="AR63" s="39"/>
      <c r="AS63" s="39"/>
      <c r="AT63" s="39"/>
    </row>
    <row r="64" spans="1:46" s="127" customFormat="1" ht="44.85" customHeight="1" x14ac:dyDescent="0.3">
      <c r="A64" s="119">
        <f>+B6</f>
        <v>0</v>
      </c>
      <c r="B64" s="119" t="s">
        <v>153</v>
      </c>
      <c r="C64" s="120">
        <v>0</v>
      </c>
      <c r="D64" s="119" t="s">
        <v>154</v>
      </c>
      <c r="E64" s="121" t="s">
        <v>155</v>
      </c>
      <c r="F64" s="119">
        <f>+B5</f>
        <v>0</v>
      </c>
      <c r="G64" s="132" t="s">
        <v>155</v>
      </c>
      <c r="H64" s="122">
        <f>+B9</f>
        <v>0</v>
      </c>
      <c r="I64" s="123">
        <v>1</v>
      </c>
      <c r="J64" s="123">
        <f>E12</f>
        <v>0</v>
      </c>
      <c r="K64" s="124" t="str">
        <f>+B7&amp;" "&amp;B8</f>
        <v xml:space="preserve"> </v>
      </c>
      <c r="L64" s="123">
        <f>+B10</f>
        <v>0</v>
      </c>
      <c r="M64" s="123">
        <f>+B11</f>
        <v>0</v>
      </c>
      <c r="N64" s="123">
        <f>+B12</f>
        <v>0</v>
      </c>
      <c r="O64" s="125">
        <f>E4</f>
        <v>0</v>
      </c>
      <c r="P64" s="126">
        <f>E5</f>
        <v>0</v>
      </c>
      <c r="Q64" s="126">
        <f>E6</f>
        <v>0</v>
      </c>
      <c r="R64" s="126">
        <f>E7</f>
        <v>0</v>
      </c>
      <c r="S64" s="126">
        <f>+B4</f>
        <v>3</v>
      </c>
      <c r="T64" s="126">
        <v>2134</v>
      </c>
      <c r="U64" s="126">
        <f>+E10</f>
        <v>4</v>
      </c>
      <c r="V64" s="126" t="str">
        <f>+D50</f>
        <v>B13</v>
      </c>
      <c r="W64" s="126">
        <f>+D51</f>
        <v>7665</v>
      </c>
      <c r="X64" s="126">
        <f>+D52</f>
        <v>0</v>
      </c>
      <c r="Y64" s="126">
        <f>+D53</f>
        <v>1544</v>
      </c>
      <c r="Z64" s="126" t="str">
        <f>+E50</f>
        <v>P4</v>
      </c>
      <c r="AA64" s="126">
        <f>+E51</f>
        <v>6805</v>
      </c>
      <c r="AB64" s="126">
        <f>+E52</f>
        <v>0</v>
      </c>
      <c r="AC64" s="126">
        <f>+E53</f>
        <v>1594</v>
      </c>
      <c r="AD64" s="126">
        <f>+C16</f>
        <v>14.9</v>
      </c>
      <c r="AE64" s="126">
        <f>+F16</f>
        <v>9.8000000000000007</v>
      </c>
      <c r="AF64" s="126">
        <f>+E17</f>
        <v>765.70000000000016</v>
      </c>
      <c r="AG64" s="126">
        <f>+E31</f>
        <v>306.3</v>
      </c>
      <c r="AH64" s="126">
        <f>E8</f>
        <v>0.62</v>
      </c>
      <c r="AI64" s="126" t="str">
        <f>+E11</f>
        <v>Rodillo liso</v>
      </c>
      <c r="AJ64" s="126">
        <f>+E9</f>
        <v>24.5</v>
      </c>
      <c r="AK64" s="39"/>
      <c r="AL64" s="39"/>
      <c r="AM64" s="39"/>
      <c r="AN64" s="39"/>
      <c r="AO64" s="39"/>
      <c r="AP64" s="39"/>
      <c r="AQ64" s="39"/>
      <c r="AR64" s="39"/>
      <c r="AS64" s="39"/>
      <c r="AT64" s="39"/>
    </row>
    <row r="65" spans="1:18" s="68" customFormat="1" ht="22.35" customHeight="1" x14ac:dyDescent="0.3">
      <c r="G65" s="133"/>
    </row>
    <row r="66" spans="1:18" s="66" customFormat="1" ht="16.350000000000001" customHeight="1" x14ac:dyDescent="0.3">
      <c r="E66" s="69"/>
      <c r="G66" s="130"/>
    </row>
    <row r="67" spans="1:18" s="66" customFormat="1" ht="16.350000000000001" customHeight="1" x14ac:dyDescent="0.3">
      <c r="A67" s="70"/>
      <c r="B67" s="70"/>
      <c r="C67" s="70"/>
      <c r="D67" s="70"/>
      <c r="E67" s="71"/>
      <c r="F67" s="70"/>
      <c r="G67" s="130"/>
    </row>
    <row r="68" spans="1:18" s="74" customFormat="1" ht="16.350000000000001" customHeight="1" x14ac:dyDescent="0.25">
      <c r="A68" s="72"/>
      <c r="B68" s="72"/>
      <c r="C68" s="72" t="s">
        <v>156</v>
      </c>
      <c r="D68" s="72">
        <v>781065.99899999995</v>
      </c>
      <c r="E68" s="72" t="s">
        <v>157</v>
      </c>
      <c r="F68" s="72">
        <v>781923.80299999996</v>
      </c>
      <c r="G68" s="134" t="s">
        <v>158</v>
      </c>
      <c r="H68" s="72" t="s">
        <v>159</v>
      </c>
      <c r="I68" s="72" t="s">
        <v>160</v>
      </c>
      <c r="J68" s="72"/>
      <c r="K68" s="72"/>
      <c r="L68" s="72">
        <v>0.10898611</v>
      </c>
      <c r="M68" s="72">
        <v>6.2444441285485359</v>
      </c>
      <c r="N68" s="72"/>
      <c r="O68" s="72"/>
      <c r="P68" s="72"/>
      <c r="Q68" s="72"/>
      <c r="R68" s="73"/>
    </row>
    <row r="69" spans="1:18" s="74" customFormat="1" ht="16.350000000000001" customHeight="1" x14ac:dyDescent="0.25">
      <c r="A69" s="72"/>
      <c r="B69" s="72"/>
      <c r="C69" s="72" t="s">
        <v>161</v>
      </c>
      <c r="D69" s="72">
        <v>9602441.0769999996</v>
      </c>
      <c r="E69" s="72" t="s">
        <v>162</v>
      </c>
      <c r="F69" s="72">
        <v>9602534.9379999992</v>
      </c>
      <c r="G69" s="134" t="s">
        <v>163</v>
      </c>
      <c r="H69" s="72" t="s">
        <v>159</v>
      </c>
      <c r="I69" s="72" t="s">
        <v>164</v>
      </c>
      <c r="J69" s="72"/>
      <c r="K69" s="72"/>
      <c r="L69" s="72">
        <v>0.10898611</v>
      </c>
      <c r="M69" s="72">
        <v>6.2444441285485359</v>
      </c>
      <c r="N69" s="72"/>
      <c r="O69" s="72"/>
      <c r="P69" s="72"/>
      <c r="Q69" s="72"/>
      <c r="R69" s="73"/>
    </row>
    <row r="70" spans="1:18" s="76" customFormat="1" x14ac:dyDescent="0.25">
      <c r="A70" s="72">
        <v>1</v>
      </c>
      <c r="B70" s="72">
        <v>2</v>
      </c>
      <c r="C70" s="72">
        <v>3</v>
      </c>
      <c r="D70" s="72">
        <v>4</v>
      </c>
      <c r="E70" s="72">
        <v>5</v>
      </c>
      <c r="F70" s="72">
        <v>6</v>
      </c>
      <c r="G70" s="134">
        <v>7</v>
      </c>
      <c r="H70" s="72">
        <v>8</v>
      </c>
      <c r="I70" s="72">
        <v>9</v>
      </c>
      <c r="J70" s="72"/>
      <c r="K70" s="72"/>
      <c r="L70" s="72">
        <v>10</v>
      </c>
      <c r="M70" s="72">
        <v>11</v>
      </c>
      <c r="N70" s="72">
        <v>12</v>
      </c>
      <c r="O70" s="72">
        <v>13</v>
      </c>
      <c r="P70" s="72">
        <v>14</v>
      </c>
      <c r="Q70" s="72">
        <v>15</v>
      </c>
      <c r="R70" s="75"/>
    </row>
    <row r="71" spans="1:18" s="76" customFormat="1" ht="15.6" thickBot="1" x14ac:dyDescent="0.3">
      <c r="A71" s="72" t="s">
        <v>165</v>
      </c>
      <c r="B71" s="72" t="s">
        <v>166</v>
      </c>
      <c r="C71" s="72" t="s">
        <v>167</v>
      </c>
      <c r="D71" s="72" t="s">
        <v>168</v>
      </c>
      <c r="E71" s="72" t="s">
        <v>169</v>
      </c>
      <c r="F71" s="72" t="s">
        <v>170</v>
      </c>
      <c r="G71" s="134" t="s">
        <v>171</v>
      </c>
      <c r="H71" s="72" t="s">
        <v>172</v>
      </c>
      <c r="I71" s="72" t="s">
        <v>173</v>
      </c>
      <c r="J71" s="72"/>
      <c r="K71" s="72"/>
      <c r="L71" s="72" t="s">
        <v>174</v>
      </c>
      <c r="M71" s="72" t="s">
        <v>175</v>
      </c>
      <c r="N71" s="308" t="s">
        <v>176</v>
      </c>
      <c r="O71" s="309"/>
      <c r="P71" s="72" t="s">
        <v>177</v>
      </c>
      <c r="Q71" s="78" t="s">
        <v>178</v>
      </c>
      <c r="R71" s="75"/>
    </row>
    <row r="72" spans="1:18" s="76" customFormat="1" ht="15.6" thickBot="1" x14ac:dyDescent="0.3">
      <c r="A72" s="72" t="s">
        <v>179</v>
      </c>
      <c r="B72" s="72" t="s">
        <v>180</v>
      </c>
      <c r="C72" s="72" t="s">
        <v>179</v>
      </c>
      <c r="D72" s="72" t="s">
        <v>181</v>
      </c>
      <c r="E72" s="72" t="s">
        <v>181</v>
      </c>
      <c r="F72" s="72" t="s">
        <v>181</v>
      </c>
      <c r="G72" s="134" t="s">
        <v>181</v>
      </c>
      <c r="H72" s="72" t="s">
        <v>181</v>
      </c>
      <c r="I72" s="72" t="s">
        <v>181</v>
      </c>
      <c r="J72" s="72"/>
      <c r="K72" s="72"/>
      <c r="L72" s="72" t="s">
        <v>181</v>
      </c>
      <c r="M72" s="72" t="s">
        <v>181</v>
      </c>
      <c r="N72" s="72" t="s">
        <v>182</v>
      </c>
      <c r="O72" s="72" t="s">
        <v>183</v>
      </c>
      <c r="P72" s="77" t="s">
        <v>181</v>
      </c>
      <c r="Q72" s="79">
        <v>5</v>
      </c>
      <c r="R72" s="75"/>
    </row>
    <row r="73" spans="1:18" s="76" customFormat="1" x14ac:dyDescent="0.25">
      <c r="A73" s="80" t="e">
        <f>+#REF!</f>
        <v>#REF!</v>
      </c>
      <c r="B73" s="80">
        <f>+B5</f>
        <v>0</v>
      </c>
      <c r="C73" s="80">
        <f>+B4</f>
        <v>3</v>
      </c>
      <c r="D73" s="80">
        <f>+E4</f>
        <v>0</v>
      </c>
      <c r="E73" s="80">
        <f>+E5</f>
        <v>0</v>
      </c>
      <c r="F73" s="80">
        <f>+D73-D68</f>
        <v>-781065.99899999995</v>
      </c>
      <c r="G73" s="135">
        <f>+F73/COS(L68)</f>
        <v>-785727.80837641284</v>
      </c>
      <c r="H73" s="80">
        <f>+F73*TAN(L68)</f>
        <v>-85463.992781363486</v>
      </c>
      <c r="I73" s="80">
        <f>+E73-$D$69-H73</f>
        <v>-9516977.0842186362</v>
      </c>
      <c r="J73" s="80"/>
      <c r="K73" s="80"/>
      <c r="L73" s="80">
        <f>I73*TAN(L68)</f>
        <v>-1041344.6006706321</v>
      </c>
      <c r="M73" s="81">
        <f>+L73/COS(L68)</f>
        <v>-1047559.8885332437</v>
      </c>
      <c r="N73" s="80">
        <f t="shared" ref="N73" si="0">+IF(D73=0,0,G73+M73)</f>
        <v>0</v>
      </c>
      <c r="O73" s="80">
        <f>+E7</f>
        <v>0</v>
      </c>
      <c r="P73" s="80">
        <f>+MAX(ABS(N73),ABS(O73))-MIN(ABS(N73),ABS(O73))</f>
        <v>0</v>
      </c>
      <c r="Q73" s="82" t="str">
        <f>+IF(P73&gt;Q72,"NO","-")</f>
        <v>-</v>
      </c>
      <c r="R73" s="75"/>
    </row>
    <row r="74" spans="1:18" s="76" customFormat="1" x14ac:dyDescent="0.25">
      <c r="A74" s="75"/>
      <c r="B74" s="75"/>
      <c r="C74" s="75"/>
      <c r="D74" s="75"/>
      <c r="E74" s="75"/>
      <c r="F74" s="75"/>
      <c r="G74" s="83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</row>
    <row r="75" spans="1:18" s="32" customFormat="1" x14ac:dyDescent="0.25">
      <c r="A75" s="83"/>
      <c r="B75" s="83"/>
      <c r="C75" s="83"/>
      <c r="D75" s="83"/>
      <c r="E75" s="83"/>
      <c r="F75" s="84"/>
      <c r="G75" s="83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</row>
    <row r="76" spans="1:18" s="32" customFormat="1" x14ac:dyDescent="0.25">
      <c r="A76" s="83"/>
      <c r="B76" s="83"/>
      <c r="C76" s="83"/>
      <c r="D76" s="83"/>
      <c r="E76" s="83"/>
      <c r="F76" s="84"/>
      <c r="G76" s="83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</row>
    <row r="77" spans="1:18" s="32" customFormat="1" x14ac:dyDescent="0.25">
      <c r="A77" s="84"/>
      <c r="G77" s="67"/>
    </row>
    <row r="78" spans="1:18" s="32" customFormat="1" x14ac:dyDescent="0.25">
      <c r="G78" s="67"/>
    </row>
    <row r="79" spans="1:18" s="32" customFormat="1" x14ac:dyDescent="0.25">
      <c r="G79" s="67"/>
    </row>
    <row r="80" spans="1:18" s="32" customFormat="1" x14ac:dyDescent="0.25">
      <c r="G80" s="67"/>
    </row>
    <row r="81" spans="1:28" s="32" customFormat="1" x14ac:dyDescent="0.25">
      <c r="A81" s="67"/>
      <c r="B81" s="67"/>
      <c r="C81" s="67"/>
      <c r="D81" s="67"/>
      <c r="E81" s="67"/>
      <c r="G81" s="67"/>
    </row>
    <row r="82" spans="1:28" s="32" customFormat="1" x14ac:dyDescent="0.25">
      <c r="A82" s="67"/>
      <c r="B82" s="67"/>
      <c r="C82" s="67"/>
      <c r="D82" s="67"/>
      <c r="E82" s="67"/>
      <c r="G82" s="67"/>
    </row>
    <row r="83" spans="1:28" s="32" customFormat="1" x14ac:dyDescent="0.25">
      <c r="A83" s="67"/>
      <c r="B83" s="67"/>
      <c r="C83" s="67"/>
      <c r="D83" s="67"/>
      <c r="E83" s="67"/>
      <c r="G83" s="67"/>
    </row>
    <row r="84" spans="1:28" s="32" customFormat="1" x14ac:dyDescent="0.25">
      <c r="A84" s="67"/>
      <c r="B84" s="67"/>
      <c r="C84" s="67"/>
      <c r="D84" s="67"/>
      <c r="E84" s="67"/>
      <c r="G84" s="67"/>
    </row>
    <row r="85" spans="1:28" s="32" customFormat="1" x14ac:dyDescent="0.25">
      <c r="A85" s="67"/>
      <c r="B85" s="67"/>
      <c r="C85" s="67"/>
      <c r="D85" s="67"/>
      <c r="E85" s="67"/>
      <c r="G85" s="67"/>
    </row>
    <row r="86" spans="1:28" s="32" customFormat="1" x14ac:dyDescent="0.25">
      <c r="A86" s="67"/>
      <c r="B86" s="67"/>
      <c r="C86" s="67"/>
      <c r="D86" s="67"/>
      <c r="E86" s="67"/>
      <c r="G86" s="67"/>
    </row>
    <row r="87" spans="1:28" s="32" customFormat="1" x14ac:dyDescent="0.25">
      <c r="A87" s="67"/>
      <c r="B87" s="67"/>
      <c r="C87" s="67"/>
      <c r="D87" s="67"/>
      <c r="E87" s="67"/>
      <c r="G87" s="67"/>
    </row>
    <row r="88" spans="1:28" s="32" customFormat="1" x14ac:dyDescent="0.25">
      <c r="A88" s="67"/>
      <c r="B88" s="67"/>
      <c r="C88" s="67"/>
      <c r="D88" s="67"/>
      <c r="E88" s="67"/>
      <c r="G88" s="67"/>
    </row>
    <row r="89" spans="1:28" s="32" customFormat="1" x14ac:dyDescent="0.25">
      <c r="A89" s="67"/>
      <c r="B89" s="67"/>
      <c r="C89" s="67"/>
      <c r="D89" s="67"/>
      <c r="E89" s="67"/>
      <c r="G89" s="67"/>
    </row>
    <row r="90" spans="1:28" s="32" customFormat="1" x14ac:dyDescent="0.25">
      <c r="A90" s="67"/>
      <c r="B90" s="67"/>
      <c r="C90" s="67"/>
      <c r="D90" s="67"/>
      <c r="E90" s="67"/>
      <c r="G90" s="67"/>
    </row>
    <row r="91" spans="1:28" s="32" customFormat="1" x14ac:dyDescent="0.25">
      <c r="A91" s="67"/>
      <c r="B91" s="67"/>
      <c r="C91" s="67"/>
      <c r="D91" s="67"/>
      <c r="E91" s="67"/>
      <c r="G91" s="67"/>
    </row>
    <row r="92" spans="1:28" s="32" customFormat="1" ht="17.399999999999999" x14ac:dyDescent="0.3">
      <c r="A92" s="67"/>
      <c r="B92" s="67"/>
      <c r="C92" s="67"/>
      <c r="D92" s="67"/>
      <c r="E92" s="67"/>
      <c r="G92" s="67"/>
      <c r="V92" s="39"/>
      <c r="AB92" s="39"/>
    </row>
    <row r="93" spans="1:28" ht="17.399999999999999" x14ac:dyDescent="0.3">
      <c r="V93" s="44"/>
      <c r="AB93" s="44"/>
    </row>
    <row r="94" spans="1:28" ht="17.399999999999999" x14ac:dyDescent="0.3">
      <c r="V94" s="44"/>
      <c r="AB94" s="44"/>
    </row>
    <row r="95" spans="1:28" ht="17.399999999999999" x14ac:dyDescent="0.3">
      <c r="V95" s="44"/>
      <c r="AB95" s="44"/>
    </row>
    <row r="96" spans="1:28" ht="17.399999999999999" x14ac:dyDescent="0.3">
      <c r="A96" s="86" t="s">
        <v>184</v>
      </c>
      <c r="B96" s="87"/>
      <c r="C96" s="87"/>
      <c r="D96" s="87"/>
      <c r="E96" s="88"/>
      <c r="V96" s="44"/>
      <c r="AB96" s="44"/>
    </row>
    <row r="97" spans="1:28" ht="17.399999999999999" x14ac:dyDescent="0.3">
      <c r="A97" s="56" t="s">
        <v>185</v>
      </c>
      <c r="B97" s="50"/>
      <c r="C97" s="50"/>
      <c r="D97" s="50">
        <v>600</v>
      </c>
      <c r="E97" s="89"/>
      <c r="V97" s="44"/>
      <c r="AB97" s="44"/>
    </row>
    <row r="98" spans="1:28" ht="17.399999999999999" x14ac:dyDescent="0.3">
      <c r="A98" s="56" t="s">
        <v>186</v>
      </c>
      <c r="B98" s="50"/>
      <c r="C98" s="50"/>
      <c r="D98" s="50">
        <v>1000</v>
      </c>
      <c r="E98" s="89"/>
      <c r="V98" s="44"/>
      <c r="AB98" s="44"/>
    </row>
    <row r="99" spans="1:28" ht="17.399999999999999" x14ac:dyDescent="0.3">
      <c r="A99" s="56" t="s">
        <v>187</v>
      </c>
      <c r="B99" s="50"/>
      <c r="C99" s="50" t="s">
        <v>89</v>
      </c>
      <c r="D99" s="90">
        <f>+C16-F16</f>
        <v>5.0999999999999996</v>
      </c>
      <c r="E99" s="89"/>
      <c r="V99" s="44"/>
      <c r="AB99" s="44"/>
    </row>
    <row r="100" spans="1:28" ht="17.399999999999999" x14ac:dyDescent="0.3">
      <c r="A100" s="56" t="s">
        <v>187</v>
      </c>
      <c r="B100" s="50"/>
      <c r="C100" s="50" t="s">
        <v>188</v>
      </c>
      <c r="D100" s="90">
        <f>+(D99*1000)/D108</f>
        <v>5114.4739613105085</v>
      </c>
      <c r="E100" s="89"/>
      <c r="V100" s="44"/>
      <c r="AB100" s="44"/>
    </row>
    <row r="101" spans="1:28" ht="17.399999999999999" x14ac:dyDescent="0.3">
      <c r="A101" s="56"/>
      <c r="B101" s="50"/>
      <c r="C101" s="50"/>
      <c r="D101" s="50"/>
      <c r="E101" s="89"/>
      <c r="Q101" s="44"/>
      <c r="R101" s="44"/>
      <c r="S101" s="44"/>
      <c r="T101" s="44"/>
      <c r="U101" s="44"/>
      <c r="V101" s="44"/>
      <c r="AB101" s="44"/>
    </row>
    <row r="102" spans="1:28" ht="17.399999999999999" x14ac:dyDescent="0.3">
      <c r="A102" s="91" t="s">
        <v>189</v>
      </c>
      <c r="B102" s="92"/>
      <c r="C102" s="92"/>
      <c r="D102" s="92"/>
      <c r="E102" s="93"/>
      <c r="Q102" s="44"/>
      <c r="R102" s="44"/>
      <c r="S102" s="44"/>
      <c r="T102" s="44"/>
      <c r="U102" s="44"/>
      <c r="V102" s="44"/>
      <c r="AB102" s="44"/>
    </row>
    <row r="103" spans="1:28" ht="17.399999999999999" x14ac:dyDescent="0.3">
      <c r="A103" s="56" t="s">
        <v>190</v>
      </c>
      <c r="B103" s="50"/>
      <c r="C103" s="50" t="s">
        <v>191</v>
      </c>
      <c r="D103" s="50">
        <f>+(E31*1000)/D108</f>
        <v>307169.2890881194</v>
      </c>
      <c r="E103" s="89"/>
      <c r="Q103" s="44"/>
      <c r="R103" s="44"/>
      <c r="S103" s="44"/>
      <c r="T103" s="44"/>
      <c r="U103" s="44"/>
      <c r="V103" s="44"/>
      <c r="AB103" s="44"/>
    </row>
    <row r="104" spans="1:28" ht="17.399999999999999" x14ac:dyDescent="0.3">
      <c r="A104" s="56" t="s">
        <v>192</v>
      </c>
      <c r="B104" s="50"/>
      <c r="C104" s="50" t="s">
        <v>193</v>
      </c>
      <c r="D104" s="90">
        <f>+D100</f>
        <v>5114.4739613105085</v>
      </c>
      <c r="E104" s="89"/>
      <c r="Q104" s="44"/>
      <c r="R104" s="44"/>
      <c r="S104" s="44"/>
      <c r="T104" s="44"/>
      <c r="U104" s="44"/>
      <c r="V104" s="44"/>
      <c r="AB104" s="44"/>
    </row>
    <row r="105" spans="1:28" ht="17.399999999999999" x14ac:dyDescent="0.3">
      <c r="A105" s="56" t="s">
        <v>194</v>
      </c>
      <c r="B105" s="50"/>
      <c r="C105" s="50" t="s">
        <v>193</v>
      </c>
      <c r="D105" s="90">
        <f>+D103-D104</f>
        <v>302054.81512680888</v>
      </c>
      <c r="E105" s="89"/>
      <c r="Q105" s="44"/>
      <c r="R105" s="44"/>
      <c r="S105" s="44"/>
      <c r="T105" s="44"/>
      <c r="U105" s="44"/>
      <c r="V105" s="44"/>
      <c r="AB105" s="44"/>
    </row>
    <row r="106" spans="1:28" ht="17.399999999999999" x14ac:dyDescent="0.3">
      <c r="A106" s="56" t="s">
        <v>195</v>
      </c>
      <c r="B106" s="50"/>
      <c r="C106" s="50" t="s">
        <v>196</v>
      </c>
      <c r="D106" s="50">
        <v>1</v>
      </c>
      <c r="E106" s="89"/>
      <c r="Q106" s="44"/>
      <c r="R106" s="44"/>
      <c r="S106" s="44"/>
      <c r="T106" s="44"/>
      <c r="U106" s="44"/>
      <c r="V106" s="44"/>
      <c r="AB106" s="44"/>
    </row>
    <row r="107" spans="1:28" ht="17.399999999999999" x14ac:dyDescent="0.3">
      <c r="A107" s="56" t="s">
        <v>197</v>
      </c>
      <c r="B107" s="50"/>
      <c r="C107" s="50" t="s">
        <v>193</v>
      </c>
      <c r="D107" s="50">
        <f>+D105*D106</f>
        <v>302054.81512680888</v>
      </c>
      <c r="E107" s="89"/>
      <c r="Q107" s="44"/>
      <c r="R107" s="44"/>
      <c r="S107" s="44"/>
      <c r="T107" s="44"/>
      <c r="U107" s="44"/>
      <c r="V107" s="44"/>
      <c r="AB107" s="44"/>
    </row>
    <row r="108" spans="1:28" ht="17.399999999999999" x14ac:dyDescent="0.3">
      <c r="A108" s="310" t="s">
        <v>198</v>
      </c>
      <c r="B108" s="311"/>
      <c r="C108" s="312" t="s">
        <v>199</v>
      </c>
      <c r="D108" s="313">
        <f>+IF($E$9="",1,VLOOKUP($E$9,LISTAS!A4:B163,2,FALSE))</f>
        <v>0.99717</v>
      </c>
      <c r="E108" s="89"/>
      <c r="Q108" s="44"/>
      <c r="R108" s="44"/>
      <c r="S108" s="44"/>
      <c r="T108" s="44"/>
      <c r="U108" s="44"/>
      <c r="V108" s="44"/>
      <c r="AB108" s="44"/>
    </row>
    <row r="109" spans="1:28" ht="17.399999999999999" x14ac:dyDescent="0.3">
      <c r="A109" s="310"/>
      <c r="B109" s="311"/>
      <c r="C109" s="312"/>
      <c r="D109" s="313"/>
      <c r="E109" s="89"/>
      <c r="Q109" s="44"/>
      <c r="R109" s="44"/>
      <c r="S109" s="44"/>
      <c r="T109" s="44"/>
      <c r="U109" s="44"/>
      <c r="V109" s="44"/>
      <c r="AB109" s="44"/>
    </row>
    <row r="110" spans="1:28" ht="17.399999999999999" x14ac:dyDescent="0.3">
      <c r="A110" s="91" t="s">
        <v>200</v>
      </c>
      <c r="B110" s="92"/>
      <c r="C110" s="92"/>
      <c r="D110" s="92"/>
      <c r="E110" s="93"/>
      <c r="Q110" s="44"/>
      <c r="R110" s="44"/>
      <c r="S110" s="44"/>
      <c r="T110" s="44"/>
      <c r="U110" s="44"/>
      <c r="V110" s="44"/>
      <c r="AB110" s="44"/>
    </row>
    <row r="111" spans="1:28" ht="17.399999999999999" x14ac:dyDescent="0.3">
      <c r="A111" s="56" t="s">
        <v>201</v>
      </c>
      <c r="B111" s="50"/>
      <c r="C111" s="50"/>
      <c r="D111" s="94">
        <f>+E17/D107*1000</f>
        <v>2.5349703486055781</v>
      </c>
      <c r="E111" s="89"/>
      <c r="Q111" s="44"/>
      <c r="R111" s="44"/>
      <c r="S111" s="44"/>
      <c r="T111" s="44"/>
      <c r="U111" s="44"/>
      <c r="V111" s="44"/>
      <c r="AB111" s="44"/>
    </row>
    <row r="112" spans="1:28" ht="17.399999999999999" x14ac:dyDescent="0.3">
      <c r="A112" s="56" t="s">
        <v>202</v>
      </c>
      <c r="B112" s="50"/>
      <c r="C112" s="50"/>
      <c r="D112" s="94">
        <f>+E115/D107*1000</f>
        <v>2.3691311669211008</v>
      </c>
      <c r="E112" s="95"/>
      <c r="Q112" s="44"/>
      <c r="R112" s="44"/>
      <c r="S112" s="44"/>
      <c r="T112" s="44"/>
      <c r="U112" s="44"/>
      <c r="V112" s="44"/>
      <c r="AB112" s="44"/>
    </row>
    <row r="113" spans="1:28" ht="17.399999999999999" x14ac:dyDescent="0.3">
      <c r="A113" s="56" t="s">
        <v>203</v>
      </c>
      <c r="B113" s="50"/>
      <c r="C113" s="50"/>
      <c r="D113" s="90">
        <f>+ROUND(D112/B14*100,2)</f>
        <v>111.02</v>
      </c>
      <c r="E113" s="95"/>
      <c r="Q113" s="44"/>
      <c r="R113" s="44"/>
      <c r="S113" s="44"/>
      <c r="T113" s="44"/>
      <c r="U113" s="44"/>
      <c r="V113" s="44"/>
      <c r="AB113" s="44"/>
    </row>
    <row r="114" spans="1:28" ht="17.399999999999999" x14ac:dyDescent="0.3">
      <c r="A114" s="56"/>
      <c r="B114" s="50"/>
      <c r="C114" s="50"/>
      <c r="D114" s="50"/>
      <c r="E114" s="89"/>
      <c r="Q114" s="44"/>
      <c r="R114" s="44"/>
      <c r="S114" s="44"/>
      <c r="T114" s="44"/>
      <c r="U114" s="44"/>
      <c r="V114" s="44"/>
      <c r="AB114" s="44"/>
    </row>
    <row r="115" spans="1:28" ht="17.399999999999999" x14ac:dyDescent="0.3">
      <c r="A115" s="91" t="s">
        <v>204</v>
      </c>
      <c r="B115" s="92"/>
      <c r="C115" s="92"/>
      <c r="D115" s="92"/>
      <c r="E115" s="96">
        <f>+E17/(E116+100)*100</f>
        <v>715.6074766355141</v>
      </c>
      <c r="Q115" s="44"/>
      <c r="R115" s="44"/>
      <c r="S115" s="44"/>
      <c r="T115" s="44"/>
      <c r="U115" s="44"/>
      <c r="V115" s="44"/>
      <c r="AB115" s="44"/>
    </row>
    <row r="116" spans="1:28" ht="17.399999999999999" x14ac:dyDescent="0.3">
      <c r="A116" s="97" t="s">
        <v>205</v>
      </c>
      <c r="B116" s="44"/>
      <c r="C116" s="44" t="s">
        <v>196</v>
      </c>
      <c r="D116" s="44"/>
      <c r="E116" s="98">
        <f>+IF(E48="",E49,E48)</f>
        <v>7</v>
      </c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</row>
    <row r="117" spans="1:28" ht="17.399999999999999" x14ac:dyDescent="0.3">
      <c r="A117" s="91" t="s">
        <v>206</v>
      </c>
      <c r="B117" s="99"/>
      <c r="C117" s="99"/>
      <c r="D117" s="99"/>
      <c r="E117" s="100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</row>
    <row r="118" spans="1:28" ht="17.399999999999999" x14ac:dyDescent="0.3">
      <c r="A118" s="303" t="str">
        <f>+"- Proctor de Laboratorio utilizado: "&amp;B14&amp;" g/cm3."</f>
        <v>- Proctor de Laboratorio utilizado: 2,134 g/cm3.</v>
      </c>
      <c r="B118" s="304"/>
      <c r="C118" s="304"/>
      <c r="D118" s="304"/>
      <c r="E118" s="305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</row>
    <row r="119" spans="1:28" ht="17.399999999999999" x14ac:dyDescent="0.3">
      <c r="A119" s="300" t="str">
        <f>+"- Se obtuvo un porcentaje de compactación de "&amp;D113&amp;"% en el pozo ubicado en la abscisa "&amp;K23</f>
        <v xml:space="preserve">- Se obtuvo un porcentaje de compactación de 111,02% en el pozo ubicado en la abscisa </v>
      </c>
      <c r="B119" s="301"/>
      <c r="C119" s="301"/>
      <c r="D119" s="301"/>
      <c r="E119" s="302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</row>
    <row r="120" spans="1:28" ht="17.399999999999999" x14ac:dyDescent="0.3">
      <c r="A120" s="300"/>
      <c r="B120" s="301"/>
      <c r="C120" s="301"/>
      <c r="D120" s="301"/>
      <c r="E120" s="302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</row>
    <row r="121" spans="1:28" ht="17.399999999999999" x14ac:dyDescent="0.3">
      <c r="A121" s="303" t="str">
        <f>+IF(D113&lt;97," - Se realizó recompactación de material"," - La densidad del material es mayor al 97%" )</f>
        <v xml:space="preserve"> - La densidad del material es mayor al 97%</v>
      </c>
      <c r="B121" s="304"/>
      <c r="C121" s="304"/>
      <c r="D121" s="304"/>
      <c r="E121" s="305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</row>
    <row r="122" spans="1:28" ht="17.399999999999999" x14ac:dyDescent="0.3">
      <c r="A122" s="101"/>
      <c r="B122" s="102"/>
      <c r="C122" s="102"/>
      <c r="D122" s="102"/>
      <c r="E122" s="103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</row>
    <row r="124" spans="1:28" x14ac:dyDescent="0.25">
      <c r="R124" s="104"/>
      <c r="S124" s="105"/>
      <c r="T124" s="105"/>
      <c r="U124" s="105"/>
    </row>
    <row r="125" spans="1:28" x14ac:dyDescent="0.25">
      <c r="Q125" s="105"/>
      <c r="R125" s="104"/>
      <c r="S125" s="106"/>
      <c r="T125" s="106"/>
      <c r="U125" s="105"/>
      <c r="V125" s="105"/>
      <c r="W125" s="105"/>
      <c r="X125" s="105"/>
      <c r="Y125" s="105"/>
      <c r="Z125" s="105"/>
      <c r="AA125" s="105"/>
      <c r="AB125" s="105"/>
    </row>
    <row r="126" spans="1:28" x14ac:dyDescent="0.25">
      <c r="Q126" s="105"/>
      <c r="R126" s="105"/>
      <c r="S126" s="105"/>
      <c r="T126" s="105"/>
      <c r="U126" s="105"/>
      <c r="V126" s="105"/>
      <c r="W126" s="105"/>
      <c r="X126" s="105"/>
      <c r="Y126" s="105"/>
      <c r="Z126" s="105"/>
      <c r="AA126" s="105"/>
      <c r="AB126" s="105"/>
    </row>
  </sheetData>
  <protectedRanges>
    <protectedRange sqref="E63:G63" name="Rango2"/>
    <protectedRange sqref="L63:N63" name="Rango2_1"/>
  </protectedRanges>
  <mergeCells count="33">
    <mergeCell ref="B5:C5"/>
    <mergeCell ref="E5:F5"/>
    <mergeCell ref="A1:F1"/>
    <mergeCell ref="C2:D2"/>
    <mergeCell ref="C3:D3"/>
    <mergeCell ref="B4:C4"/>
    <mergeCell ref="E4:F4"/>
    <mergeCell ref="B6:C6"/>
    <mergeCell ref="E6:F6"/>
    <mergeCell ref="B7:C7"/>
    <mergeCell ref="E7:F7"/>
    <mergeCell ref="B8:C8"/>
    <mergeCell ref="E8:F8"/>
    <mergeCell ref="E48:F48"/>
    <mergeCell ref="B9:C9"/>
    <mergeCell ref="E9:F9"/>
    <mergeCell ref="B10:C10"/>
    <mergeCell ref="E10:F10"/>
    <mergeCell ref="B11:C11"/>
    <mergeCell ref="E11:F11"/>
    <mergeCell ref="B12:C12"/>
    <mergeCell ref="E12:F12"/>
    <mergeCell ref="E17:F17"/>
    <mergeCell ref="E31:F31"/>
    <mergeCell ref="E43:F43"/>
    <mergeCell ref="A119:E120"/>
    <mergeCell ref="A121:E121"/>
    <mergeCell ref="E49:F49"/>
    <mergeCell ref="N71:O71"/>
    <mergeCell ref="A108:B109"/>
    <mergeCell ref="C108:C109"/>
    <mergeCell ref="D108:D109"/>
    <mergeCell ref="A118:E118"/>
  </mergeCells>
  <conditionalFormatting sqref="Q68:Q69 Q71:Q73">
    <cfRule type="cellIs" dxfId="5" priority="4" operator="equal">
      <formula>"NO"</formula>
    </cfRule>
  </conditionalFormatting>
  <conditionalFormatting sqref="Q68:Q69">
    <cfRule type="cellIs" dxfId="4" priority="5" operator="greaterThan">
      <formula>1</formula>
    </cfRule>
  </conditionalFormatting>
  <conditionalFormatting sqref="P73">
    <cfRule type="cellIs" dxfId="3" priority="6" operator="greaterThan">
      <formula>$I$22</formula>
    </cfRule>
  </conditionalFormatting>
  <conditionalFormatting sqref="E3">
    <cfRule type="cellIs" dxfId="2" priority="2" operator="equal">
      <formula>"REVISAR"</formula>
    </cfRule>
    <cfRule type="cellIs" dxfId="1" priority="3" operator="equal">
      <formula>"OK"</formula>
    </cfRule>
  </conditionalFormatting>
  <conditionalFormatting sqref="A3:D3">
    <cfRule type="cellIs" dxfId="0" priority="1" operator="equal">
      <formula>"NO"</formula>
    </cfRule>
  </conditionalFormatting>
  <dataValidations count="4">
    <dataValidation type="list" allowBlank="1" showInputMessage="1" showErrorMessage="1" sqref="E11:F11" xr:uid="{0D45CE11-8207-44F6-900A-462B6ABA0412}">
      <formula1>"Rodillo liso, Rodillo de impacto"</formula1>
    </dataValidation>
    <dataValidation type="list" allowBlank="1" showInputMessage="1" showErrorMessage="1" sqref="B7" xr:uid="{A0CB5C13-AFBA-46C1-8FB3-784A388B19D8}">
      <formula1>$H$6:$H$17</formula1>
    </dataValidation>
    <dataValidation type="list" allowBlank="1" showInputMessage="1" showErrorMessage="1" sqref="B10:C11 B12" xr:uid="{5DA01FB7-C1F1-433F-A636-E5654E6CF142}">
      <formula1>$H$17:$H$36</formula1>
    </dataValidation>
    <dataValidation type="list" allowBlank="1" showInputMessage="1" showErrorMessage="1" sqref="B6:C6" xr:uid="{ADE45C59-67ED-4EA9-94EC-C4CC07F44F54}">
      <formula1>$O$6:$O$7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D971-8BBA-41D8-9661-8082BE91D280}">
  <sheetPr codeName="Hoja5">
    <tabColor rgb="FFFFC000"/>
  </sheetPr>
  <dimension ref="A1:B163"/>
  <sheetViews>
    <sheetView topLeftCell="A136" workbookViewId="0">
      <selection sqref="A1:B163"/>
    </sheetView>
  </sheetViews>
  <sheetFormatPr baseColWidth="10" defaultColWidth="10.5546875" defaultRowHeight="14.4" x14ac:dyDescent="0.3"/>
  <cols>
    <col min="1" max="2" width="18" customWidth="1"/>
  </cols>
  <sheetData>
    <row r="1" spans="1:2" ht="15" x14ac:dyDescent="0.3">
      <c r="A1" s="21" t="s">
        <v>207</v>
      </c>
      <c r="B1" s="22" t="s">
        <v>208</v>
      </c>
    </row>
    <row r="2" spans="1:2" ht="15.6" x14ac:dyDescent="0.3">
      <c r="A2" s="23" t="s">
        <v>209</v>
      </c>
      <c r="B2" s="24" t="s">
        <v>210</v>
      </c>
    </row>
    <row r="3" spans="1:2" ht="15.6" x14ac:dyDescent="0.3">
      <c r="A3" s="24"/>
      <c r="B3" s="24"/>
    </row>
    <row r="4" spans="1:2" ht="15.6" x14ac:dyDescent="0.3">
      <c r="A4" s="25">
        <v>15</v>
      </c>
      <c r="B4" s="26">
        <v>0.99909999999999999</v>
      </c>
    </row>
    <row r="5" spans="1:2" ht="15.6" x14ac:dyDescent="0.3">
      <c r="A5" s="25">
        <v>15.1</v>
      </c>
      <c r="B5" s="26">
        <v>0.99909000000000003</v>
      </c>
    </row>
    <row r="6" spans="1:2" ht="15.6" x14ac:dyDescent="0.3">
      <c r="A6" s="25">
        <v>15.2</v>
      </c>
      <c r="B6" s="26">
        <v>0.99907000000000001</v>
      </c>
    </row>
    <row r="7" spans="1:2" ht="15.6" x14ac:dyDescent="0.3">
      <c r="A7" s="25">
        <v>15.3</v>
      </c>
      <c r="B7" s="26">
        <v>0.99905999999999995</v>
      </c>
    </row>
    <row r="8" spans="1:2" ht="15.6" x14ac:dyDescent="0.3">
      <c r="A8" s="25">
        <v>15.4</v>
      </c>
      <c r="B8" s="26">
        <v>0.99904000000000004</v>
      </c>
    </row>
    <row r="9" spans="1:2" ht="15.6" x14ac:dyDescent="0.3">
      <c r="A9" s="25">
        <v>15.5</v>
      </c>
      <c r="B9" s="27">
        <v>0.99902000000000002</v>
      </c>
    </row>
    <row r="10" spans="1:2" ht="15.6" x14ac:dyDescent="0.3">
      <c r="A10" s="25">
        <v>15.6</v>
      </c>
      <c r="B10" s="26">
        <v>0.99900999999999995</v>
      </c>
    </row>
    <row r="11" spans="1:2" ht="15.6" x14ac:dyDescent="0.3">
      <c r="A11" s="25">
        <v>15.7</v>
      </c>
      <c r="B11" s="26">
        <v>0.99899000000000004</v>
      </c>
    </row>
    <row r="12" spans="1:2" ht="15.6" x14ac:dyDescent="0.3">
      <c r="A12" s="25">
        <v>15.8</v>
      </c>
      <c r="B12" s="27">
        <v>0.99897999999999998</v>
      </c>
    </row>
    <row r="13" spans="1:2" ht="15.6" x14ac:dyDescent="0.3">
      <c r="A13" s="25">
        <v>15.9</v>
      </c>
      <c r="B13" s="26">
        <v>0.99895999999999996</v>
      </c>
    </row>
    <row r="14" spans="1:2" ht="15.6" x14ac:dyDescent="0.3">
      <c r="A14" s="25">
        <v>16</v>
      </c>
      <c r="B14" s="26">
        <v>0.99895</v>
      </c>
    </row>
    <row r="15" spans="1:2" ht="15.6" x14ac:dyDescent="0.3">
      <c r="A15" s="25">
        <v>16.100000000000001</v>
      </c>
      <c r="B15" s="26">
        <v>0.99892999999999998</v>
      </c>
    </row>
    <row r="16" spans="1:2" ht="15.6" x14ac:dyDescent="0.3">
      <c r="A16" s="25">
        <v>16.2</v>
      </c>
      <c r="B16" s="26">
        <v>0.99890999999999996</v>
      </c>
    </row>
    <row r="17" spans="1:2" ht="15.6" x14ac:dyDescent="0.3">
      <c r="A17" s="25">
        <v>16.3</v>
      </c>
      <c r="B17" s="26">
        <v>0.99890000000000001</v>
      </c>
    </row>
    <row r="18" spans="1:2" ht="15.6" x14ac:dyDescent="0.3">
      <c r="A18" s="25">
        <v>16.399999999999999</v>
      </c>
      <c r="B18" s="26">
        <v>0.99887999999999999</v>
      </c>
    </row>
    <row r="19" spans="1:2" ht="15.6" x14ac:dyDescent="0.3">
      <c r="A19" s="25">
        <v>16.5</v>
      </c>
      <c r="B19" s="27">
        <v>0.99885999999999997</v>
      </c>
    </row>
    <row r="20" spans="1:2" ht="15.6" x14ac:dyDescent="0.3">
      <c r="A20" s="25">
        <v>16.600000000000001</v>
      </c>
      <c r="B20" s="26">
        <v>0.99885000000000002</v>
      </c>
    </row>
    <row r="21" spans="1:2" ht="15.6" x14ac:dyDescent="0.3">
      <c r="A21" s="25">
        <v>16.7</v>
      </c>
      <c r="B21" s="26">
        <v>0.99883</v>
      </c>
    </row>
    <row r="22" spans="1:2" ht="15.6" x14ac:dyDescent="0.3">
      <c r="A22" s="25">
        <v>16.8</v>
      </c>
      <c r="B22" s="27">
        <v>0.99880999999999998</v>
      </c>
    </row>
    <row r="23" spans="1:2" ht="15.6" x14ac:dyDescent="0.3">
      <c r="A23" s="25">
        <v>16.899999999999999</v>
      </c>
      <c r="B23" s="26">
        <v>0.99878999999999996</v>
      </c>
    </row>
    <row r="24" spans="1:2" ht="15.6" x14ac:dyDescent="0.3">
      <c r="A24" s="25">
        <v>17</v>
      </c>
      <c r="B24" s="26">
        <v>0.99878</v>
      </c>
    </row>
    <row r="25" spans="1:2" ht="15.6" x14ac:dyDescent="0.3">
      <c r="A25" s="25">
        <v>17.100000000000001</v>
      </c>
      <c r="B25" s="26">
        <v>0.99875999999999998</v>
      </c>
    </row>
    <row r="26" spans="1:2" ht="15.6" x14ac:dyDescent="0.3">
      <c r="A26" s="25">
        <v>17.2</v>
      </c>
      <c r="B26" s="26">
        <v>0.99873999999999996</v>
      </c>
    </row>
    <row r="27" spans="1:2" ht="15.6" x14ac:dyDescent="0.3">
      <c r="A27" s="25">
        <v>17.3</v>
      </c>
      <c r="B27" s="26">
        <v>0.99872000000000005</v>
      </c>
    </row>
    <row r="28" spans="1:2" ht="15.6" x14ac:dyDescent="0.3">
      <c r="A28" s="25">
        <v>17.399999999999999</v>
      </c>
      <c r="B28" s="26">
        <v>0.99870999999999999</v>
      </c>
    </row>
    <row r="29" spans="1:2" ht="15.6" x14ac:dyDescent="0.3">
      <c r="A29" s="25">
        <v>17.5</v>
      </c>
      <c r="B29" s="27">
        <v>0.99868999999999997</v>
      </c>
    </row>
    <row r="30" spans="1:2" ht="15.6" x14ac:dyDescent="0.3">
      <c r="A30" s="25">
        <v>17.600000000000001</v>
      </c>
      <c r="B30" s="26">
        <v>0.99866999999999995</v>
      </c>
    </row>
    <row r="31" spans="1:2" ht="15.6" x14ac:dyDescent="0.3">
      <c r="A31" s="25">
        <v>17.7</v>
      </c>
      <c r="B31" s="26">
        <v>0.99865000000000004</v>
      </c>
    </row>
    <row r="32" spans="1:2" ht="15.6" x14ac:dyDescent="0.3">
      <c r="A32" s="25">
        <v>17.8</v>
      </c>
      <c r="B32" s="27">
        <v>0.99863000000000002</v>
      </c>
    </row>
    <row r="33" spans="1:2" ht="15.6" x14ac:dyDescent="0.3">
      <c r="A33" s="25">
        <v>17.899999999999999</v>
      </c>
      <c r="B33" s="26">
        <v>0.99861999999999995</v>
      </c>
    </row>
    <row r="34" spans="1:2" ht="15.6" x14ac:dyDescent="0.3">
      <c r="A34" s="25">
        <v>18</v>
      </c>
      <c r="B34" s="26">
        <v>0.99860000000000004</v>
      </c>
    </row>
    <row r="35" spans="1:2" ht="15.6" x14ac:dyDescent="0.3">
      <c r="A35" s="25">
        <v>18.100000000000001</v>
      </c>
      <c r="B35" s="26">
        <v>0.99858000000000002</v>
      </c>
    </row>
    <row r="36" spans="1:2" ht="15.6" x14ac:dyDescent="0.3">
      <c r="A36" s="25">
        <v>18.2</v>
      </c>
      <c r="B36" s="26">
        <v>0.99856</v>
      </c>
    </row>
    <row r="37" spans="1:2" ht="15.6" x14ac:dyDescent="0.3">
      <c r="A37" s="25">
        <v>18.3</v>
      </c>
      <c r="B37" s="26">
        <v>0.99853999999999998</v>
      </c>
    </row>
    <row r="38" spans="1:2" ht="15.6" x14ac:dyDescent="0.3">
      <c r="A38" s="25">
        <v>18.399999999999999</v>
      </c>
      <c r="B38" s="26">
        <v>0.99851999999999996</v>
      </c>
    </row>
    <row r="39" spans="1:2" ht="15.6" x14ac:dyDescent="0.3">
      <c r="A39" s="25">
        <v>18.5</v>
      </c>
      <c r="B39" s="27">
        <v>0.99850000000000005</v>
      </c>
    </row>
    <row r="40" spans="1:2" ht="15.6" x14ac:dyDescent="0.3">
      <c r="A40" s="25">
        <v>18.600000000000001</v>
      </c>
      <c r="B40" s="26">
        <v>0.99848000000000003</v>
      </c>
    </row>
    <row r="41" spans="1:2" ht="15.6" x14ac:dyDescent="0.3">
      <c r="A41" s="25">
        <v>18.7</v>
      </c>
      <c r="B41" s="26">
        <v>0.99846999999999997</v>
      </c>
    </row>
    <row r="42" spans="1:2" ht="15.6" x14ac:dyDescent="0.3">
      <c r="A42" s="25">
        <v>18.8</v>
      </c>
      <c r="B42" s="27">
        <v>0.99844999999999995</v>
      </c>
    </row>
    <row r="43" spans="1:2" ht="15.6" x14ac:dyDescent="0.3">
      <c r="A43" s="25">
        <v>18.899999999999999</v>
      </c>
      <c r="B43" s="26">
        <v>0.99843000000000004</v>
      </c>
    </row>
    <row r="44" spans="1:2" ht="15.6" x14ac:dyDescent="0.3">
      <c r="A44" s="25">
        <v>19</v>
      </c>
      <c r="B44" s="26">
        <v>0.99841000000000002</v>
      </c>
    </row>
    <row r="45" spans="1:2" ht="15.6" x14ac:dyDescent="0.3">
      <c r="A45" s="25">
        <v>19.100000000000001</v>
      </c>
      <c r="B45" s="26">
        <v>0.99839</v>
      </c>
    </row>
    <row r="46" spans="1:2" ht="15.6" x14ac:dyDescent="0.3">
      <c r="A46" s="25">
        <v>19.2</v>
      </c>
      <c r="B46" s="27">
        <v>0.99836999999999998</v>
      </c>
    </row>
    <row r="47" spans="1:2" ht="15.6" x14ac:dyDescent="0.3">
      <c r="A47" s="25">
        <v>19.3</v>
      </c>
      <c r="B47" s="26">
        <v>0.99834999999999996</v>
      </c>
    </row>
    <row r="48" spans="1:2" ht="15.6" x14ac:dyDescent="0.3">
      <c r="A48" s="25">
        <v>19.399999999999999</v>
      </c>
      <c r="B48" s="26">
        <v>0.99833000000000005</v>
      </c>
    </row>
    <row r="49" spans="1:2" ht="15.6" x14ac:dyDescent="0.3">
      <c r="A49" s="25">
        <v>19.5</v>
      </c>
      <c r="B49" s="26">
        <v>0.99831000000000003</v>
      </c>
    </row>
    <row r="50" spans="1:2" ht="15.6" x14ac:dyDescent="0.3">
      <c r="A50" s="25">
        <v>19.600000000000001</v>
      </c>
      <c r="B50" s="26">
        <v>0.99829000000000001</v>
      </c>
    </row>
    <row r="51" spans="1:2" ht="15.6" x14ac:dyDescent="0.3">
      <c r="A51" s="25">
        <v>19.7</v>
      </c>
      <c r="B51" s="26">
        <v>0.99826999999999999</v>
      </c>
    </row>
    <row r="52" spans="1:2" ht="15.6" x14ac:dyDescent="0.3">
      <c r="A52" s="25">
        <v>19.8</v>
      </c>
      <c r="B52" s="26">
        <v>0.99824999999999997</v>
      </c>
    </row>
    <row r="53" spans="1:2" ht="15.6" x14ac:dyDescent="0.3">
      <c r="A53" s="25">
        <v>19.899999999999999</v>
      </c>
      <c r="B53" s="26">
        <v>0.99822999999999995</v>
      </c>
    </row>
    <row r="54" spans="1:2" ht="15.6" x14ac:dyDescent="0.3">
      <c r="A54" s="25">
        <v>20</v>
      </c>
      <c r="B54" s="26">
        <v>0.99821000000000004</v>
      </c>
    </row>
    <row r="55" spans="1:2" ht="15.6" x14ac:dyDescent="0.3">
      <c r="A55" s="25">
        <v>20.100000000000001</v>
      </c>
      <c r="B55" s="26">
        <v>0.99819000000000002</v>
      </c>
    </row>
    <row r="56" spans="1:2" ht="15.6" x14ac:dyDescent="0.3">
      <c r="A56" s="25">
        <v>20.2</v>
      </c>
      <c r="B56" s="27">
        <v>0.99816000000000005</v>
      </c>
    </row>
    <row r="57" spans="1:2" ht="15.6" x14ac:dyDescent="0.3">
      <c r="A57" s="25">
        <v>20.3</v>
      </c>
      <c r="B57" s="26">
        <v>0.99814000000000003</v>
      </c>
    </row>
    <row r="58" spans="1:2" ht="15.6" x14ac:dyDescent="0.3">
      <c r="A58" s="25">
        <v>20.399999999999999</v>
      </c>
      <c r="B58" s="26">
        <v>0.99812000000000001</v>
      </c>
    </row>
    <row r="59" spans="1:2" ht="15.6" x14ac:dyDescent="0.3">
      <c r="A59" s="25">
        <v>20.5</v>
      </c>
      <c r="B59" s="26">
        <v>0.99809999999999999</v>
      </c>
    </row>
    <row r="60" spans="1:2" ht="15.6" x14ac:dyDescent="0.3">
      <c r="A60" s="25">
        <v>20.6</v>
      </c>
      <c r="B60" s="26">
        <v>0.99807999999999997</v>
      </c>
    </row>
    <row r="61" spans="1:2" ht="15.6" x14ac:dyDescent="0.3">
      <c r="A61" s="25">
        <v>20.7</v>
      </c>
      <c r="B61" s="26">
        <v>0.99805999999999995</v>
      </c>
    </row>
    <row r="62" spans="1:2" ht="15.6" x14ac:dyDescent="0.3">
      <c r="A62" s="25">
        <v>20.8</v>
      </c>
      <c r="B62" s="26">
        <v>0.99804000000000004</v>
      </c>
    </row>
    <row r="63" spans="1:2" ht="15.6" x14ac:dyDescent="0.3">
      <c r="A63" s="25">
        <v>20.9</v>
      </c>
      <c r="B63" s="26">
        <v>0.99802000000000002</v>
      </c>
    </row>
    <row r="64" spans="1:2" ht="15.6" x14ac:dyDescent="0.3">
      <c r="A64" s="25">
        <v>21</v>
      </c>
      <c r="B64" s="26">
        <v>0.99799000000000004</v>
      </c>
    </row>
    <row r="65" spans="1:2" ht="15.6" x14ac:dyDescent="0.3">
      <c r="A65" s="25">
        <v>21.1</v>
      </c>
      <c r="B65" s="26">
        <v>0.99797000000000002</v>
      </c>
    </row>
    <row r="66" spans="1:2" ht="15.6" x14ac:dyDescent="0.3">
      <c r="A66" s="25">
        <v>21.2</v>
      </c>
      <c r="B66" s="27">
        <v>0.99795</v>
      </c>
    </row>
    <row r="67" spans="1:2" ht="15.6" x14ac:dyDescent="0.3">
      <c r="A67" s="25">
        <v>21.3</v>
      </c>
      <c r="B67" s="26">
        <v>0.99792999999999998</v>
      </c>
    </row>
    <row r="68" spans="1:2" ht="15.6" x14ac:dyDescent="0.3">
      <c r="A68" s="25">
        <v>21.4</v>
      </c>
      <c r="B68" s="26">
        <v>0.99790999999999996</v>
      </c>
    </row>
    <row r="69" spans="1:2" ht="15.6" x14ac:dyDescent="0.3">
      <c r="A69" s="25">
        <v>21.5</v>
      </c>
      <c r="B69" s="26">
        <v>0.99789000000000005</v>
      </c>
    </row>
    <row r="70" spans="1:2" ht="15.6" x14ac:dyDescent="0.3">
      <c r="A70" s="25">
        <v>21.6</v>
      </c>
      <c r="B70" s="26">
        <v>0.99785999999999997</v>
      </c>
    </row>
    <row r="71" spans="1:2" ht="15.6" x14ac:dyDescent="0.3">
      <c r="A71" s="25">
        <v>21.7</v>
      </c>
      <c r="B71" s="26">
        <v>0.99783999999999995</v>
      </c>
    </row>
    <row r="72" spans="1:2" ht="15.6" x14ac:dyDescent="0.3">
      <c r="A72" s="25">
        <v>21.8</v>
      </c>
      <c r="B72" s="26">
        <v>0.99782000000000004</v>
      </c>
    </row>
    <row r="73" spans="1:2" ht="15.6" x14ac:dyDescent="0.3">
      <c r="A73" s="25">
        <v>21.9</v>
      </c>
      <c r="B73" s="26">
        <v>0.99780000000000002</v>
      </c>
    </row>
    <row r="74" spans="1:2" ht="15.6" x14ac:dyDescent="0.3">
      <c r="A74" s="25">
        <v>22</v>
      </c>
      <c r="B74" s="26">
        <v>0.99777000000000005</v>
      </c>
    </row>
    <row r="75" spans="1:2" ht="15.6" x14ac:dyDescent="0.3">
      <c r="A75" s="25">
        <v>22.1</v>
      </c>
      <c r="B75" s="26">
        <v>0.99775000000000003</v>
      </c>
    </row>
    <row r="76" spans="1:2" ht="15.6" x14ac:dyDescent="0.3">
      <c r="A76" s="25">
        <v>22.2</v>
      </c>
      <c r="B76" s="27">
        <v>0.99773000000000001</v>
      </c>
    </row>
    <row r="77" spans="1:2" ht="15.6" x14ac:dyDescent="0.3">
      <c r="A77" s="25">
        <v>22.3</v>
      </c>
      <c r="B77" s="26">
        <v>0.99770000000000003</v>
      </c>
    </row>
    <row r="78" spans="1:2" ht="15.6" x14ac:dyDescent="0.3">
      <c r="A78" s="25">
        <v>22.4</v>
      </c>
      <c r="B78" s="26">
        <v>0.99768000000000001</v>
      </c>
    </row>
    <row r="79" spans="1:2" ht="15.6" x14ac:dyDescent="0.3">
      <c r="A79" s="25">
        <v>22.5</v>
      </c>
      <c r="B79" s="26">
        <v>0.99765999999999999</v>
      </c>
    </row>
    <row r="80" spans="1:2" ht="15.6" x14ac:dyDescent="0.3">
      <c r="A80" s="25">
        <v>22.6</v>
      </c>
      <c r="B80" s="26">
        <v>0.99763999999999997</v>
      </c>
    </row>
    <row r="81" spans="1:2" ht="15.6" x14ac:dyDescent="0.3">
      <c r="A81" s="25">
        <v>22.7</v>
      </c>
      <c r="B81" s="26">
        <v>0.99761</v>
      </c>
    </row>
    <row r="82" spans="1:2" ht="15.6" x14ac:dyDescent="0.3">
      <c r="A82" s="25">
        <v>22.8</v>
      </c>
      <c r="B82" s="26">
        <v>0.99758999999999998</v>
      </c>
    </row>
    <row r="83" spans="1:2" ht="15.6" x14ac:dyDescent="0.3">
      <c r="A83" s="25">
        <v>22.9</v>
      </c>
      <c r="B83" s="26">
        <v>0.99756</v>
      </c>
    </row>
    <row r="84" spans="1:2" ht="15.6" x14ac:dyDescent="0.3">
      <c r="A84" s="25">
        <v>23</v>
      </c>
      <c r="B84" s="26">
        <v>0.99753999999999998</v>
      </c>
    </row>
    <row r="85" spans="1:2" ht="15.6" x14ac:dyDescent="0.3">
      <c r="A85" s="25">
        <v>23.1</v>
      </c>
      <c r="B85" s="26">
        <v>0.99751999999999996</v>
      </c>
    </row>
    <row r="86" spans="1:2" ht="15.6" x14ac:dyDescent="0.3">
      <c r="A86" s="25">
        <v>23.2</v>
      </c>
      <c r="B86" s="26">
        <v>0.99748999999999999</v>
      </c>
    </row>
    <row r="87" spans="1:2" ht="15.6" x14ac:dyDescent="0.3">
      <c r="A87" s="25">
        <v>23.3</v>
      </c>
      <c r="B87" s="27">
        <v>0.99746999999999997</v>
      </c>
    </row>
    <row r="88" spans="1:2" ht="15.6" x14ac:dyDescent="0.3">
      <c r="A88" s="25">
        <v>23.4</v>
      </c>
      <c r="B88" s="26">
        <v>0.99744999999999995</v>
      </c>
    </row>
    <row r="89" spans="1:2" ht="15.6" x14ac:dyDescent="0.3">
      <c r="A89" s="25">
        <v>23.5</v>
      </c>
      <c r="B89" s="26">
        <v>0.99741999999999997</v>
      </c>
    </row>
    <row r="90" spans="1:2" ht="15.6" x14ac:dyDescent="0.3">
      <c r="A90" s="25">
        <v>23.6</v>
      </c>
      <c r="B90" s="26">
        <v>0.99739999999999995</v>
      </c>
    </row>
    <row r="91" spans="1:2" ht="15.6" x14ac:dyDescent="0.3">
      <c r="A91" s="25">
        <v>23.7</v>
      </c>
      <c r="B91" s="27">
        <v>0.99736999999999998</v>
      </c>
    </row>
    <row r="92" spans="1:2" ht="15.6" x14ac:dyDescent="0.3">
      <c r="A92" s="25">
        <v>23.8</v>
      </c>
      <c r="B92" s="26">
        <v>0.99734999999999996</v>
      </c>
    </row>
    <row r="93" spans="1:2" ht="15.6" x14ac:dyDescent="0.3">
      <c r="A93" s="25">
        <v>23.9</v>
      </c>
      <c r="B93" s="26">
        <v>0.99731999999999998</v>
      </c>
    </row>
    <row r="94" spans="1:2" ht="15.6" x14ac:dyDescent="0.3">
      <c r="A94" s="25">
        <v>24</v>
      </c>
      <c r="B94" s="26">
        <v>0.99729999999999996</v>
      </c>
    </row>
    <row r="95" spans="1:2" ht="15.6" x14ac:dyDescent="0.3">
      <c r="A95" s="25">
        <v>24.1</v>
      </c>
      <c r="B95" s="26">
        <v>0.99726999999999999</v>
      </c>
    </row>
    <row r="96" spans="1:2" ht="15.6" x14ac:dyDescent="0.3">
      <c r="A96" s="25">
        <v>24.2</v>
      </c>
      <c r="B96" s="26">
        <v>0.99724999999999997</v>
      </c>
    </row>
    <row r="97" spans="1:2" ht="15.6" x14ac:dyDescent="0.3">
      <c r="A97" s="25">
        <v>24.3</v>
      </c>
      <c r="B97" s="27">
        <v>0.99722999999999995</v>
      </c>
    </row>
    <row r="98" spans="1:2" ht="15.6" x14ac:dyDescent="0.3">
      <c r="A98" s="25">
        <v>24.4</v>
      </c>
      <c r="B98" s="26">
        <v>0.99719999999999998</v>
      </c>
    </row>
    <row r="99" spans="1:2" ht="15.6" x14ac:dyDescent="0.3">
      <c r="A99" s="25">
        <v>24.5</v>
      </c>
      <c r="B99" s="26">
        <v>0.99717</v>
      </c>
    </row>
    <row r="100" spans="1:2" ht="15.6" x14ac:dyDescent="0.3">
      <c r="A100" s="25">
        <v>24.6</v>
      </c>
      <c r="B100" s="26">
        <v>0.99714999999999998</v>
      </c>
    </row>
    <row r="101" spans="1:2" ht="15.6" x14ac:dyDescent="0.3">
      <c r="A101" s="25">
        <v>24.7</v>
      </c>
      <c r="B101" s="27">
        <v>0.99712000000000001</v>
      </c>
    </row>
    <row r="102" spans="1:2" ht="15.6" x14ac:dyDescent="0.3">
      <c r="A102" s="25">
        <v>24.8</v>
      </c>
      <c r="B102" s="26">
        <v>0.99709999999999999</v>
      </c>
    </row>
    <row r="103" spans="1:2" ht="15.6" x14ac:dyDescent="0.3">
      <c r="A103" s="25">
        <v>24.9</v>
      </c>
      <c r="B103" s="26">
        <v>0.99707000000000001</v>
      </c>
    </row>
    <row r="104" spans="1:2" ht="15.6" x14ac:dyDescent="0.3">
      <c r="A104" s="25">
        <v>25</v>
      </c>
      <c r="B104" s="26">
        <v>0.99704999999999999</v>
      </c>
    </row>
    <row r="105" spans="1:2" ht="15.6" x14ac:dyDescent="0.3">
      <c r="A105" s="25">
        <v>25.1</v>
      </c>
      <c r="B105" s="26">
        <v>0.99702000000000002</v>
      </c>
    </row>
    <row r="106" spans="1:2" ht="15.6" x14ac:dyDescent="0.3">
      <c r="A106" s="25">
        <v>25.2</v>
      </c>
      <c r="B106" s="26">
        <v>0.997</v>
      </c>
    </row>
    <row r="107" spans="1:2" ht="15.6" x14ac:dyDescent="0.3">
      <c r="A107" s="25">
        <v>25.3</v>
      </c>
      <c r="B107" s="27">
        <v>0.99697000000000002</v>
      </c>
    </row>
    <row r="108" spans="1:2" ht="15.6" x14ac:dyDescent="0.3">
      <c r="A108" s="25">
        <v>25.4</v>
      </c>
      <c r="B108" s="26">
        <v>0.99694000000000005</v>
      </c>
    </row>
    <row r="109" spans="1:2" ht="15.6" x14ac:dyDescent="0.3">
      <c r="A109" s="25">
        <v>25.5</v>
      </c>
      <c r="B109" s="26">
        <v>0.99692000000000003</v>
      </c>
    </row>
    <row r="110" spans="1:2" ht="15.6" x14ac:dyDescent="0.3">
      <c r="A110" s="25">
        <v>25.6</v>
      </c>
      <c r="B110" s="26">
        <v>0.99689000000000005</v>
      </c>
    </row>
    <row r="111" spans="1:2" ht="15.6" x14ac:dyDescent="0.3">
      <c r="A111" s="25">
        <v>25.7</v>
      </c>
      <c r="B111" s="27">
        <v>0.99687000000000003</v>
      </c>
    </row>
    <row r="112" spans="1:2" ht="15.6" x14ac:dyDescent="0.3">
      <c r="A112" s="25">
        <v>25.8</v>
      </c>
      <c r="B112" s="26">
        <v>0.99683999999999995</v>
      </c>
    </row>
    <row r="113" spans="1:2" ht="15.6" x14ac:dyDescent="0.3">
      <c r="A113" s="25">
        <v>25.9</v>
      </c>
      <c r="B113" s="26">
        <v>0.99680999999999997</v>
      </c>
    </row>
    <row r="114" spans="1:2" ht="15.6" x14ac:dyDescent="0.3">
      <c r="A114" s="25">
        <v>26</v>
      </c>
      <c r="B114" s="26">
        <v>0.99678999999999995</v>
      </c>
    </row>
    <row r="115" spans="1:2" ht="15.6" x14ac:dyDescent="0.3">
      <c r="A115" s="25">
        <v>26.1</v>
      </c>
      <c r="B115" s="26">
        <v>0.99675999999999998</v>
      </c>
    </row>
    <row r="116" spans="1:2" ht="15.6" x14ac:dyDescent="0.3">
      <c r="A116" s="25">
        <v>26.2</v>
      </c>
      <c r="B116" s="26">
        <v>0.99673</v>
      </c>
    </row>
    <row r="117" spans="1:2" ht="15.6" x14ac:dyDescent="0.3">
      <c r="A117" s="25">
        <v>26.3</v>
      </c>
      <c r="B117" s="27">
        <v>0.99670999999999998</v>
      </c>
    </row>
    <row r="118" spans="1:2" ht="15.6" x14ac:dyDescent="0.3">
      <c r="A118" s="25">
        <v>26.4</v>
      </c>
      <c r="B118" s="26">
        <v>0.99668000000000001</v>
      </c>
    </row>
    <row r="119" spans="1:2" ht="15.6" x14ac:dyDescent="0.3">
      <c r="A119" s="25">
        <v>26.5</v>
      </c>
      <c r="B119" s="26">
        <v>0.99665000000000004</v>
      </c>
    </row>
    <row r="120" spans="1:2" ht="15.6" x14ac:dyDescent="0.3">
      <c r="A120" s="25">
        <v>26.6</v>
      </c>
      <c r="B120" s="26">
        <v>0.99663000000000002</v>
      </c>
    </row>
    <row r="121" spans="1:2" ht="15.6" x14ac:dyDescent="0.3">
      <c r="A121" s="25">
        <v>26.7</v>
      </c>
      <c r="B121" s="27">
        <v>0.99660000000000004</v>
      </c>
    </row>
    <row r="122" spans="1:2" ht="15.6" x14ac:dyDescent="0.3">
      <c r="A122" s="25">
        <v>26.8</v>
      </c>
      <c r="B122" s="26">
        <v>0.99656999999999996</v>
      </c>
    </row>
    <row r="123" spans="1:2" ht="15.6" x14ac:dyDescent="0.3">
      <c r="A123" s="25">
        <v>26.9</v>
      </c>
      <c r="B123" s="26">
        <v>0.99653999999999998</v>
      </c>
    </row>
    <row r="124" spans="1:2" ht="15.6" x14ac:dyDescent="0.3">
      <c r="A124" s="25">
        <v>27</v>
      </c>
      <c r="B124" s="27">
        <v>0.99651999999999996</v>
      </c>
    </row>
    <row r="125" spans="1:2" ht="15.6" x14ac:dyDescent="0.3">
      <c r="A125" s="25">
        <v>27.1</v>
      </c>
      <c r="B125" s="26">
        <v>0.99648999999999999</v>
      </c>
    </row>
    <row r="126" spans="1:2" ht="15.6" x14ac:dyDescent="0.3">
      <c r="A126" s="25">
        <v>27.2</v>
      </c>
      <c r="B126" s="26">
        <v>0.99646000000000001</v>
      </c>
    </row>
    <row r="127" spans="1:2" ht="15.6" x14ac:dyDescent="0.3">
      <c r="A127" s="25">
        <v>27.3</v>
      </c>
      <c r="B127" s="26">
        <v>0.99643000000000004</v>
      </c>
    </row>
    <row r="128" spans="1:2" ht="15.6" x14ac:dyDescent="0.3">
      <c r="A128" s="25">
        <v>27.4</v>
      </c>
      <c r="B128" s="26">
        <v>0.99641000000000002</v>
      </c>
    </row>
    <row r="129" spans="1:2" ht="15.6" x14ac:dyDescent="0.3">
      <c r="A129" s="25">
        <v>27.5</v>
      </c>
      <c r="B129" s="26">
        <v>0.99638000000000004</v>
      </c>
    </row>
    <row r="130" spans="1:2" ht="15.6" x14ac:dyDescent="0.3">
      <c r="A130" s="25">
        <v>27.6</v>
      </c>
      <c r="B130" s="26">
        <v>0.99634999999999996</v>
      </c>
    </row>
    <row r="131" spans="1:2" ht="15.6" x14ac:dyDescent="0.3">
      <c r="A131" s="25">
        <v>27.7</v>
      </c>
      <c r="B131" s="27">
        <v>0.99631999999999998</v>
      </c>
    </row>
    <row r="132" spans="1:2" ht="15.6" x14ac:dyDescent="0.3">
      <c r="A132" s="25">
        <v>27.8</v>
      </c>
      <c r="B132" s="26">
        <v>0.99629000000000001</v>
      </c>
    </row>
    <row r="133" spans="1:2" ht="15.6" x14ac:dyDescent="0.3">
      <c r="A133" s="25">
        <v>27.9</v>
      </c>
      <c r="B133" s="26">
        <v>0.99626999999999999</v>
      </c>
    </row>
    <row r="134" spans="1:2" ht="15.6" x14ac:dyDescent="0.3">
      <c r="A134" s="25">
        <v>28</v>
      </c>
      <c r="B134" s="27">
        <v>0.99624000000000001</v>
      </c>
    </row>
    <row r="135" spans="1:2" ht="15.6" x14ac:dyDescent="0.3">
      <c r="A135" s="25">
        <v>28.1</v>
      </c>
      <c r="B135" s="26">
        <v>0.99621000000000004</v>
      </c>
    </row>
    <row r="136" spans="1:2" ht="15.6" x14ac:dyDescent="0.3">
      <c r="A136" s="25">
        <v>28.2</v>
      </c>
      <c r="B136" s="26">
        <v>0.99617999999999995</v>
      </c>
    </row>
    <row r="137" spans="1:2" ht="15.6" x14ac:dyDescent="0.3">
      <c r="A137" s="25">
        <v>28.3</v>
      </c>
      <c r="B137" s="26">
        <v>0.99614999999999998</v>
      </c>
    </row>
    <row r="138" spans="1:2" ht="15.6" x14ac:dyDescent="0.3">
      <c r="A138" s="25">
        <v>28.4</v>
      </c>
      <c r="B138" s="26">
        <v>0.99612000000000001</v>
      </c>
    </row>
    <row r="139" spans="1:2" ht="15.6" x14ac:dyDescent="0.3">
      <c r="A139" s="25">
        <v>28.5</v>
      </c>
      <c r="B139" s="26">
        <v>0.99609000000000003</v>
      </c>
    </row>
    <row r="140" spans="1:2" ht="15.6" x14ac:dyDescent="0.3">
      <c r="A140" s="25">
        <v>28.6</v>
      </c>
      <c r="B140" s="26">
        <v>0.99607000000000001</v>
      </c>
    </row>
    <row r="141" spans="1:2" ht="15.6" x14ac:dyDescent="0.3">
      <c r="A141" s="25">
        <v>28.7</v>
      </c>
      <c r="B141" s="27">
        <v>0.99604000000000004</v>
      </c>
    </row>
    <row r="142" spans="1:2" ht="15.6" x14ac:dyDescent="0.3">
      <c r="A142" s="25">
        <v>28.8</v>
      </c>
      <c r="B142" s="26">
        <v>0.99600999999999995</v>
      </c>
    </row>
    <row r="143" spans="1:2" ht="15.6" x14ac:dyDescent="0.3">
      <c r="A143" s="25">
        <v>28.9</v>
      </c>
      <c r="B143" s="26">
        <v>0.99597999999999998</v>
      </c>
    </row>
    <row r="144" spans="1:2" ht="15.6" x14ac:dyDescent="0.3">
      <c r="A144" s="25">
        <v>29</v>
      </c>
      <c r="B144" s="27">
        <v>0.99595</v>
      </c>
    </row>
    <row r="145" spans="1:2" ht="15.6" x14ac:dyDescent="0.3">
      <c r="A145" s="25">
        <v>29.1</v>
      </c>
      <c r="B145" s="26">
        <v>0.99592000000000003</v>
      </c>
    </row>
    <row r="146" spans="1:2" ht="15.6" x14ac:dyDescent="0.3">
      <c r="A146" s="25">
        <v>29.2</v>
      </c>
      <c r="B146" s="26">
        <v>0.99589000000000005</v>
      </c>
    </row>
    <row r="147" spans="1:2" ht="15.6" x14ac:dyDescent="0.3">
      <c r="A147" s="25">
        <v>29.3</v>
      </c>
      <c r="B147" s="26">
        <v>0.99585999999999997</v>
      </c>
    </row>
    <row r="148" spans="1:2" ht="15.6" x14ac:dyDescent="0.3">
      <c r="A148" s="25">
        <v>29.4</v>
      </c>
      <c r="B148" s="26">
        <v>0.99582999999999999</v>
      </c>
    </row>
    <row r="149" spans="1:2" ht="15.6" x14ac:dyDescent="0.3">
      <c r="A149" s="25">
        <v>29.5</v>
      </c>
      <c r="B149" s="26">
        <v>0.99580000000000002</v>
      </c>
    </row>
    <row r="150" spans="1:2" ht="15.6" x14ac:dyDescent="0.3">
      <c r="A150" s="25">
        <v>29.6</v>
      </c>
      <c r="B150" s="26">
        <v>0.99577000000000004</v>
      </c>
    </row>
    <row r="151" spans="1:2" ht="15.6" x14ac:dyDescent="0.3">
      <c r="A151" s="25">
        <v>29.7</v>
      </c>
      <c r="B151" s="27">
        <v>0.99573999999999996</v>
      </c>
    </row>
    <row r="152" spans="1:2" ht="15.6" x14ac:dyDescent="0.3">
      <c r="A152" s="25">
        <v>29.8</v>
      </c>
      <c r="B152" s="26">
        <v>0.99570999999999998</v>
      </c>
    </row>
    <row r="153" spans="1:2" ht="15.6" x14ac:dyDescent="0.3">
      <c r="A153" s="25">
        <v>29.9</v>
      </c>
      <c r="B153" s="26">
        <v>0.99568000000000001</v>
      </c>
    </row>
    <row r="154" spans="1:2" ht="15.6" x14ac:dyDescent="0.3">
      <c r="A154" s="25">
        <v>30</v>
      </c>
      <c r="B154" s="27">
        <v>0.99565000000000003</v>
      </c>
    </row>
    <row r="155" spans="1:2" ht="15.6" x14ac:dyDescent="0.3">
      <c r="A155" s="25">
        <v>30.1</v>
      </c>
      <c r="B155" s="26">
        <v>0.99561999999999995</v>
      </c>
    </row>
    <row r="156" spans="1:2" ht="15.6" x14ac:dyDescent="0.3">
      <c r="A156" s="25">
        <v>30.2</v>
      </c>
      <c r="B156" s="26">
        <v>0.99558999999999997</v>
      </c>
    </row>
    <row r="157" spans="1:2" ht="15.6" x14ac:dyDescent="0.3">
      <c r="A157" s="25">
        <v>30.3</v>
      </c>
      <c r="B157" s="26">
        <v>0.99556</v>
      </c>
    </row>
    <row r="158" spans="1:2" ht="15.6" x14ac:dyDescent="0.3">
      <c r="A158" s="25">
        <v>30.4</v>
      </c>
      <c r="B158" s="26">
        <v>0.99553000000000003</v>
      </c>
    </row>
    <row r="159" spans="1:2" ht="15.6" x14ac:dyDescent="0.3">
      <c r="A159" s="25">
        <v>30.5</v>
      </c>
      <c r="B159" s="26">
        <v>0.99550000000000005</v>
      </c>
    </row>
    <row r="160" spans="1:2" ht="15.6" x14ac:dyDescent="0.3">
      <c r="A160" s="25">
        <v>30.6</v>
      </c>
      <c r="B160" s="26">
        <v>0.99546999999999997</v>
      </c>
    </row>
    <row r="161" spans="1:2" ht="15.6" x14ac:dyDescent="0.3">
      <c r="A161" s="25">
        <v>30.7</v>
      </c>
      <c r="B161" s="27">
        <v>0.99543999999999999</v>
      </c>
    </row>
    <row r="162" spans="1:2" ht="15.6" x14ac:dyDescent="0.3">
      <c r="A162" s="25">
        <v>30.8</v>
      </c>
      <c r="B162" s="26">
        <v>0.99541000000000002</v>
      </c>
    </row>
    <row r="163" spans="1:2" ht="15.6" x14ac:dyDescent="0.3">
      <c r="A163" s="25">
        <v>30.9</v>
      </c>
      <c r="B163" s="28">
        <v>0.99538000000000004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PRA-1</vt:lpstr>
      <vt:lpstr>PRA-2</vt:lpstr>
      <vt:lpstr>PRA-3</vt:lpstr>
      <vt:lpstr>PRA-3Respaldo</vt:lpstr>
      <vt:lpstr>LISTAS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Adriana Cueva</cp:lastModifiedBy>
  <cp:revision/>
  <cp:lastPrinted>2026-07-03T12:17:54Z</cp:lastPrinted>
  <dcterms:created xsi:type="dcterms:W3CDTF">2023-06-28T06:41:19Z</dcterms:created>
  <dcterms:modified xsi:type="dcterms:W3CDTF">2026-07-09T22:01:44Z</dcterms:modified>
  <cp:category/>
  <cp:contentStatus/>
</cp:coreProperties>
</file>